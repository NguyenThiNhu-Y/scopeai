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ông tin dự án" sheetId="1" state="visible" r:id="rId1"/>
    <sheet xmlns:r="http://schemas.openxmlformats.org/officeDocument/2006/relationships" name="WBS" sheetId="2" state="visible" r:id="rId2"/>
    <sheet xmlns:r="http://schemas.openxmlformats.org/officeDocument/2006/relationships" name="Tổng hợp" sheetId="3" state="visible" r:id="rId3"/>
    <sheet xmlns:r="http://schemas.openxmlformats.org/officeDocument/2006/relationships" name="Lịch thực tế" sheetId="4" state="visible" r:id="rId4"/>
    <sheet xmlns:r="http://schemas.openxmlformats.org/officeDocument/2006/relationships" name="Bài học" sheetId="5" state="visible" r:id="rId5"/>
  </sheets>
  <definedNames>
    <definedName name="_xlnm._FilterDatabase" localSheetId="1" hidden="1">'WBS'!$A$1:$J$94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C0413B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D4FA3"/>
      </patternFill>
    </fill>
    <fill>
      <patternFill patternType="solid">
        <fgColor rgb="00DCE7F8"/>
      </patternFill>
    </fill>
    <fill>
      <patternFill patternType="solid">
        <fgColor rgb="00F1F5FB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4" borderId="1" pivotButton="0" quotePrefix="0" xfId="0"/>
    <xf numFmtId="0" fontId="0" fillId="0" borderId="1" pivotButton="0" quotePrefix="0" xfId="0"/>
    <xf numFmtId="0" fontId="0" fillId="5" borderId="1" pivotButton="0" quotePrefix="0" xfId="0"/>
    <xf numFmtId="0" fontId="2" fillId="4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DỮ LIỆU GIẢ LẬP — dự án tham chiếu cho bộ demo Tokai Minato (không phải dự án thật)</t>
        </is>
      </c>
    </row>
    <row r="3">
      <c r="A3" s="2" t="inlineStr">
        <is>
          <t>Mã case study</t>
        </is>
      </c>
      <c r="B3" s="3" t="inlineStr">
        <is>
          <t>cs_rag_scan_manual_foundry_jp</t>
        </is>
      </c>
    </row>
    <row r="4">
      <c r="A4" s="2" t="inlineStr">
        <is>
          <t>Tên dự án</t>
        </is>
      </c>
      <c r="B4" s="3" t="inlineStr">
        <is>
          <t>Tra cứu tài liệu kỹ thuật dạng scan cho nhà máy đúc (giả lập)</t>
        </is>
      </c>
    </row>
    <row r="5">
      <c r="A5" s="2" t="inlineStr">
        <is>
          <t>Ngành</t>
        </is>
      </c>
      <c r="B5" s="3" t="inlineStr">
        <is>
          <t>Đúc kim loại</t>
        </is>
      </c>
    </row>
    <row r="6">
      <c r="A6" s="2" t="inlineStr">
        <is>
          <t>Thị trường / ngôn ngữ khách</t>
        </is>
      </c>
      <c r="B6" s="3" t="inlineStr">
        <is>
          <t>jp / ja</t>
        </is>
      </c>
    </row>
    <row r="7">
      <c r="A7" s="2" t="inlineStr">
        <is>
          <t>Hướng giải pháp</t>
        </is>
      </c>
      <c r="B7" s="3" t="inlineStr">
        <is>
          <t>rag</t>
        </is>
      </c>
    </row>
    <row r="8">
      <c r="A8" s="2" t="inlineStr">
        <is>
          <t>Số requirement</t>
        </is>
      </c>
      <c r="B8" s="3" t="n">
        <v>24</v>
      </c>
    </row>
    <row r="9">
      <c r="A9" s="2" t="inlineStr">
        <is>
          <t>Hệ số áp dụng khi ước lượng</t>
        </is>
      </c>
      <c r="B9" s="3" t="inlineStr">
        <is>
          <t>customer_jp, ocr</t>
        </is>
      </c>
    </row>
    <row r="10">
      <c r="A10" s="2" t="inlineStr">
        <is>
          <t>Công nghệ</t>
        </is>
      </c>
      <c r="B10" s="3" t="inlineStr">
        <is>
          <t>Azure OpenAI, Azure AI Search, Azure AI Document Intelligence, Python</t>
        </is>
      </c>
    </row>
    <row r="11">
      <c r="A11" s="2" t="inlineStr">
        <is>
          <t>Tháng chào thầu</t>
        </is>
      </c>
      <c r="B11" s="3" t="inlineStr">
        <is>
          <t>2025-01</t>
        </is>
      </c>
    </row>
    <row r="12">
      <c r="A12" s="2" t="inlineStr">
        <is>
          <t>Kết quả chào thầu</t>
        </is>
      </c>
      <c r="B12" s="3" t="inlineStr">
        <is>
          <t>Trúng thầu</t>
        </is>
      </c>
    </row>
    <row r="13">
      <c r="A13" s="2" t="inlineStr">
        <is>
          <t>Hợp đồng</t>
        </is>
      </c>
      <c r="B13" s="3" t="inlineStr">
        <is>
          <t>PoC: 準委任 · MVP: 請負 · Vận hành: 準委任</t>
        </is>
      </c>
    </row>
    <row r="14">
      <c r="A14" s="2" t="inlineStr">
        <is>
          <t>Lý do</t>
        </is>
      </c>
      <c r="B14" s="3" t="inlineStr">
        <is>
          <t>Cam kết trả lời kèm ảnh trang gốc để kỹ sư tự kiểm chứng.</t>
        </is>
      </c>
    </row>
    <row r="15">
      <c r="A15" s="2" t="inlineStr">
        <is>
          <t>Tóm tắt</t>
        </is>
      </c>
      <c r="B15" s="3" t="inlineStr">
        <is>
          <t>Hỏi đáp trên khoảng 25.000 trang tài liệu kỹ thuật cũ, khoảng 60% là bản scan có chữ viết tay và bảng biểu; trả lời kèm ảnh trang gốc.</t>
        </is>
      </c>
    </row>
    <row r="16">
      <c r="A16" s="2" t="inlineStr">
        <is>
          <t>Loại WBS</t>
        </is>
      </c>
      <c r="B16" s="3" t="inlineStr">
        <is>
          <t>WBS ước lượng khi chào thầu và effort thực tế sau dự án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6" customWidth="1" min="2" max="2"/>
    <col width="36" customWidth="1" min="3" max="3"/>
    <col width="12" customWidth="1" min="4" max="4"/>
    <col width="13" customWidth="1" min="5" max="5"/>
    <col width="12" customWidth="1" min="6" max="6"/>
    <col width="12" customWidth="1" min="7" max="7"/>
    <col width="11" customWidth="1" min="8" max="8"/>
    <col width="18" customWidth="1" min="9" max="9"/>
    <col width="28" customWidth="1" min="10" max="10"/>
  </cols>
  <sheetData>
    <row r="1">
      <c r="A1" s="4" t="inlineStr">
        <is>
          <t>Mã</t>
        </is>
      </c>
      <c r="B1" s="4" t="inlineStr">
        <is>
          <t>Hạng mục (VI)</t>
        </is>
      </c>
      <c r="C1" s="4" t="inlineStr">
        <is>
          <t>作業項目 (JA)</t>
        </is>
      </c>
      <c r="D1" s="4" t="inlineStr">
        <is>
          <t>Giai đoạn</t>
        </is>
      </c>
      <c r="E1" s="4" t="inlineStr">
        <is>
          <t>Vai trò</t>
        </is>
      </c>
      <c r="F1" s="4" t="inlineStr">
        <is>
          <t>Man-day ước lượng</t>
        </is>
      </c>
      <c r="G1" s="4" t="inlineStr">
        <is>
          <t>Man-day thực tế</t>
        </is>
      </c>
      <c r="H1" s="4" t="inlineStr">
        <is>
          <t>Chênh lệch</t>
        </is>
      </c>
      <c r="I1" s="4" t="inlineStr">
        <is>
          <t>Requirement liên quan</t>
        </is>
      </c>
      <c r="J1" s="4" t="inlineStr">
        <is>
          <t>Ghi chú</t>
        </is>
      </c>
    </row>
    <row r="2">
      <c r="A2" s="5" t="inlineStr">
        <is>
          <t>1</t>
        </is>
      </c>
      <c r="B2" s="5" t="inlineStr">
        <is>
          <t>PoC</t>
        </is>
      </c>
      <c r="C2" s="5" t="inlineStr">
        <is>
          <t>PoC</t>
        </is>
      </c>
      <c r="D2" s="5" t="inlineStr">
        <is>
          <t>PoC</t>
        </is>
      </c>
      <c r="E2" s="5" t="n"/>
      <c r="F2" s="5" t="n"/>
      <c r="G2" s="5" t="n"/>
      <c r="H2" s="5" t="n"/>
      <c r="I2" s="5" t="n"/>
      <c r="J2" s="5" t="n"/>
    </row>
    <row r="3">
      <c r="A3" s="6" t="inlineStr">
        <is>
          <t>1.1</t>
        </is>
      </c>
      <c r="B3" s="6" t="inlineStr">
        <is>
          <t xml:space="preserve">    Quản lý PoC</t>
        </is>
      </c>
      <c r="C3" s="6" t="inlineStr">
        <is>
          <t>PoC管理</t>
        </is>
      </c>
      <c r="D3" s="6" t="inlineStr">
        <is>
          <t>PoC</t>
        </is>
      </c>
      <c r="E3" s="6" t="n"/>
      <c r="F3" s="6" t="n"/>
      <c r="G3" s="6" t="n"/>
      <c r="H3" s="6" t="n"/>
      <c r="I3" s="6" t="n"/>
      <c r="J3" s="6" t="n"/>
    </row>
    <row r="4">
      <c r="A4" s="7" t="inlineStr">
        <is>
          <t>1.1.01</t>
        </is>
      </c>
      <c r="B4" s="7" t="inlineStr">
        <is>
          <t xml:space="preserve">        Kickoff và lập kế hoạch PoC</t>
        </is>
      </c>
      <c r="C4" s="7" t="inlineStr">
        <is>
          <t>PoCキックオフ・計画策定</t>
        </is>
      </c>
      <c r="D4" s="7" t="inlineStr">
        <is>
          <t>PoC</t>
        </is>
      </c>
      <c r="E4" s="7" t="inlineStr">
        <is>
          <t>PM</t>
        </is>
      </c>
      <c r="F4" s="7" t="n">
        <v>3</v>
      </c>
      <c r="G4" s="7" t="n">
        <v>3.5</v>
      </c>
      <c r="H4" s="7">
        <f>G4-F4</f>
        <v/>
      </c>
      <c r="I4" s="7" t="n"/>
      <c r="J4" s="7" t="n"/>
    </row>
    <row r="5">
      <c r="A5" s="7" t="inlineStr">
        <is>
          <t>1.1.02</t>
        </is>
      </c>
      <c r="B5" s="7" t="inlineStr">
        <is>
          <t xml:space="preserve">        Họp định kỳ và báo cáo tuần</t>
        </is>
      </c>
      <c r="C5" s="7" t="inlineStr">
        <is>
          <t>週次定例・報告</t>
        </is>
      </c>
      <c r="D5" s="7" t="inlineStr">
        <is>
          <t>PoC</t>
        </is>
      </c>
      <c r="E5" s="7" t="inlineStr">
        <is>
          <t>PM</t>
        </is>
      </c>
      <c r="F5" s="7" t="n">
        <v>4.5</v>
      </c>
      <c r="G5" s="7" t="n">
        <v>5.5</v>
      </c>
      <c r="H5" s="7">
        <f>G5-F5</f>
        <v/>
      </c>
      <c r="I5" s="7" t="n"/>
      <c r="J5" s="7" t="n"/>
    </row>
    <row r="6">
      <c r="A6" s="7" t="inlineStr">
        <is>
          <t>1.1.03</t>
        </is>
      </c>
      <c r="B6" s="7" t="inlineStr">
        <is>
          <t xml:space="preserve">        Cầu nối với khách, dịch tài liệu</t>
        </is>
      </c>
      <c r="C6" s="7" t="inlineStr">
        <is>
          <t>ブリッジSE・資料翻訳</t>
        </is>
      </c>
      <c r="D6" s="7" t="inlineStr">
        <is>
          <t>PoC</t>
        </is>
      </c>
      <c r="E6" s="7" t="inlineStr">
        <is>
          <t>BrSE</t>
        </is>
      </c>
      <c r="F6" s="7" t="n">
        <v>5.5</v>
      </c>
      <c r="G6" s="7" t="n">
        <v>7</v>
      </c>
      <c r="H6" s="7">
        <f>G6-F6</f>
        <v/>
      </c>
      <c r="I6" s="7" t="n"/>
      <c r="J6" s="7" t="n"/>
    </row>
    <row r="7">
      <c r="A7" s="6" t="inlineStr">
        <is>
          <t>1.2</t>
        </is>
      </c>
      <c r="B7" s="6" t="inlineStr">
        <is>
          <t xml:space="preserve">    Khảo sát và chuẩn bị dữ liệu</t>
        </is>
      </c>
      <c r="C7" s="6" t="inlineStr">
        <is>
          <t>データ調査・準備</t>
        </is>
      </c>
      <c r="D7" s="6" t="inlineStr">
        <is>
          <t>PoC</t>
        </is>
      </c>
      <c r="E7" s="6" t="n"/>
      <c r="F7" s="6" t="n"/>
      <c r="G7" s="6" t="n"/>
      <c r="H7" s="6" t="n"/>
      <c r="I7" s="6" t="n"/>
      <c r="J7" s="6" t="n"/>
    </row>
    <row r="8">
      <c r="A8" s="8" t="inlineStr">
        <is>
          <t>1.2.01</t>
        </is>
      </c>
      <c r="B8" s="8" t="inlineStr">
        <is>
          <t xml:space="preserve">        Khảo sát tài liệu, phân loại text/scan</t>
        </is>
      </c>
      <c r="C8" s="8" t="inlineStr">
        <is>
          <t>文書調査・テキスト/スキャン分類</t>
        </is>
      </c>
      <c r="D8" s="8" t="inlineStr">
        <is>
          <t>PoC</t>
        </is>
      </c>
      <c r="E8" s="8" t="inlineStr">
        <is>
          <t>BA</t>
        </is>
      </c>
      <c r="F8" s="8" t="n">
        <v>4.5</v>
      </c>
      <c r="G8" s="8" t="n">
        <v>9.5</v>
      </c>
      <c r="H8" s="8">
        <f>G8-F8</f>
        <v/>
      </c>
      <c r="I8" s="8" t="inlineStr">
        <is>
          <t>R-DOC-02</t>
        </is>
      </c>
      <c r="J8" s="8" t="inlineStr">
        <is>
          <t>Vượt ước lượng (xem bài học)</t>
        </is>
      </c>
    </row>
    <row r="9">
      <c r="A9" s="7" t="inlineStr">
        <is>
          <t>1.2.02</t>
        </is>
      </c>
      <c r="B9" s="7" t="inlineStr">
        <is>
          <t xml:space="preserve">        Chọn tập tài liệu PoC</t>
        </is>
      </c>
      <c r="C9" s="7" t="inlineStr">
        <is>
          <t>PoC対象文書の選定</t>
        </is>
      </c>
      <c r="D9" s="7" t="inlineStr">
        <is>
          <t>PoC</t>
        </is>
      </c>
      <c r="E9" s="7" t="inlineStr">
        <is>
          <t>BA</t>
        </is>
      </c>
      <c r="F9" s="7" t="n">
        <v>2</v>
      </c>
      <c r="G9" s="7" t="n">
        <v>3</v>
      </c>
      <c r="H9" s="7">
        <f>G9-F9</f>
        <v/>
      </c>
      <c r="I9" s="7" t="n"/>
      <c r="J9" s="7" t="n"/>
    </row>
    <row r="10">
      <c r="A10" s="6" t="inlineStr">
        <is>
          <t>1.3</t>
        </is>
      </c>
      <c r="B10" s="6" t="inlineStr">
        <is>
          <t xml:space="preserve">    Pipeline RAG thử nghiệm</t>
        </is>
      </c>
      <c r="C10" s="6" t="inlineStr">
        <is>
          <t>RAGパイプライン試作</t>
        </is>
      </c>
      <c r="D10" s="6" t="inlineStr">
        <is>
          <t>PoC</t>
        </is>
      </c>
      <c r="E10" s="6" t="n"/>
      <c r="F10" s="6" t="n"/>
      <c r="G10" s="6" t="n"/>
      <c r="H10" s="6" t="n"/>
      <c r="I10" s="6" t="n"/>
      <c r="J10" s="6" t="n"/>
    </row>
    <row r="11">
      <c r="A11" s="8" t="inlineStr">
        <is>
          <t>1.3.01</t>
        </is>
      </c>
      <c r="B11" s="8" t="inlineStr">
        <is>
          <t xml:space="preserve">        OCR tài liệu scan</t>
        </is>
      </c>
      <c r="C11" s="8" t="inlineStr">
        <is>
          <t>スキャン文書のOCR処理</t>
        </is>
      </c>
      <c r="D11" s="8" t="inlineStr">
        <is>
          <t>PoC</t>
        </is>
      </c>
      <c r="E11" s="8" t="inlineStr">
        <is>
          <t>AI Engineer</t>
        </is>
      </c>
      <c r="F11" s="8" t="n">
        <v>6</v>
      </c>
      <c r="G11" s="8" t="n">
        <v>12.5</v>
      </c>
      <c r="H11" s="8">
        <f>G11-F11</f>
        <v/>
      </c>
      <c r="I11" s="8" t="inlineStr">
        <is>
          <t>R-DOC-02</t>
        </is>
      </c>
      <c r="J11" s="8" t="inlineStr">
        <is>
          <t>Vượt ước lượng (xem bài học)</t>
        </is>
      </c>
    </row>
    <row r="12">
      <c r="A12" s="7" t="inlineStr">
        <is>
          <t>1.3.02</t>
        </is>
      </c>
      <c r="B12" s="7" t="inlineStr">
        <is>
          <t xml:space="preserve">        Chia đoạn và tạo chỉ mục tìm kiếm</t>
        </is>
      </c>
      <c r="C12" s="7" t="inlineStr">
        <is>
          <t>チャンク分割・検索インデックス作成</t>
        </is>
      </c>
      <c r="D12" s="7" t="inlineStr">
        <is>
          <t>PoC</t>
        </is>
      </c>
      <c r="E12" s="7" t="inlineStr">
        <is>
          <t>AI Engineer</t>
        </is>
      </c>
      <c r="F12" s="7" t="n">
        <v>5.5</v>
      </c>
      <c r="G12" s="7" t="n">
        <v>7</v>
      </c>
      <c r="H12" s="7">
        <f>G12-F12</f>
        <v/>
      </c>
      <c r="I12" s="7" t="n"/>
      <c r="J12" s="7" t="n"/>
    </row>
    <row r="13">
      <c r="A13" s="7" t="inlineStr">
        <is>
          <t>1.3.03</t>
        </is>
      </c>
      <c r="B13" s="7" t="inlineStr">
        <is>
          <t xml:space="preserve">        Prompt trả lời kèm trích dẫn nguồn</t>
        </is>
      </c>
      <c r="C13" s="7" t="inlineStr">
        <is>
          <t>根拠付き回答プロンプト設計</t>
        </is>
      </c>
      <c r="D13" s="7" t="inlineStr">
        <is>
          <t>PoC</t>
        </is>
      </c>
      <c r="E13" s="7" t="inlineStr">
        <is>
          <t>AI Engineer</t>
        </is>
      </c>
      <c r="F13" s="7" t="n">
        <v>5.5</v>
      </c>
      <c r="G13" s="7" t="n">
        <v>7</v>
      </c>
      <c r="H13" s="7">
        <f>G13-F13</f>
        <v/>
      </c>
      <c r="I13" s="7" t="n"/>
      <c r="J13" s="7" t="n"/>
    </row>
    <row r="14">
      <c r="A14" s="7" t="inlineStr">
        <is>
          <t>1.3.04</t>
        </is>
      </c>
      <c r="B14" s="7" t="inlineStr">
        <is>
          <t xml:space="preserve">        API backend PoC</t>
        </is>
      </c>
      <c r="C14" s="7" t="inlineStr">
        <is>
          <t>PoCバックエンドAPI</t>
        </is>
      </c>
      <c r="D14" s="7" t="inlineStr">
        <is>
          <t>PoC</t>
        </is>
      </c>
      <c r="E14" s="7" t="inlineStr">
        <is>
          <t>Backend</t>
        </is>
      </c>
      <c r="F14" s="7" t="n">
        <v>5.5</v>
      </c>
      <c r="G14" s="7" t="n">
        <v>7</v>
      </c>
      <c r="H14" s="7">
        <f>G14-F14</f>
        <v/>
      </c>
      <c r="I14" s="7" t="n"/>
      <c r="J14" s="7" t="n"/>
    </row>
    <row r="15">
      <c r="A15" s="6" t="inlineStr">
        <is>
          <t>1.4</t>
        </is>
      </c>
      <c r="B15" s="6" t="inlineStr">
        <is>
          <t xml:space="preserve">    Giao diện và hạ tầng PoC</t>
        </is>
      </c>
      <c r="C15" s="6" t="inlineStr">
        <is>
          <t>画面・基盤（PoC）</t>
        </is>
      </c>
      <c r="D15" s="6" t="inlineStr">
        <is>
          <t>PoC</t>
        </is>
      </c>
      <c r="E15" s="6" t="n"/>
      <c r="F15" s="6" t="n"/>
      <c r="G15" s="6" t="n"/>
      <c r="H15" s="6" t="n"/>
      <c r="I15" s="6" t="n"/>
      <c r="J15" s="6" t="n"/>
    </row>
    <row r="16">
      <c r="A16" s="7" t="inlineStr">
        <is>
          <t>1.4.01</t>
        </is>
      </c>
      <c r="B16" s="7" t="inlineStr">
        <is>
          <t xml:space="preserve">        Màn hình chat hiển thị nguồn</t>
        </is>
      </c>
      <c r="C16" s="7" t="inlineStr">
        <is>
          <t>根拠表示付きチャット画面</t>
        </is>
      </c>
      <c r="D16" s="7" t="inlineStr">
        <is>
          <t>PoC</t>
        </is>
      </c>
      <c r="E16" s="7" t="inlineStr">
        <is>
          <t>Frontend</t>
        </is>
      </c>
      <c r="F16" s="7" t="n">
        <v>5</v>
      </c>
      <c r="G16" s="7" t="n">
        <v>6</v>
      </c>
      <c r="H16" s="7">
        <f>G16-F16</f>
        <v/>
      </c>
      <c r="I16" s="7" t="n"/>
      <c r="J16" s="7" t="n"/>
    </row>
    <row r="17">
      <c r="A17" s="7" t="inlineStr">
        <is>
          <t>1.4.02</t>
        </is>
      </c>
      <c r="B17" s="7" t="inlineStr">
        <is>
          <t xml:space="preserve">        Dựng môi trường cloud PoC</t>
        </is>
      </c>
      <c r="C17" s="7" t="inlineStr">
        <is>
          <t>PoC環境構築</t>
        </is>
      </c>
      <c r="D17" s="7" t="inlineStr">
        <is>
          <t>PoC</t>
        </is>
      </c>
      <c r="E17" s="7" t="inlineStr">
        <is>
          <t>Infra</t>
        </is>
      </c>
      <c r="F17" s="7" t="n">
        <v>4.5</v>
      </c>
      <c r="G17" s="7" t="n">
        <v>5.5</v>
      </c>
      <c r="H17" s="7">
        <f>G17-F17</f>
        <v/>
      </c>
      <c r="I17" s="7" t="n"/>
      <c r="J17" s="7" t="n"/>
    </row>
    <row r="18">
      <c r="A18" s="7" t="inlineStr">
        <is>
          <t>1.4.03</t>
        </is>
      </c>
      <c r="B18" s="7" t="inlineStr">
        <is>
          <t xml:space="preserve">        Đăng nhập một lần (SSO)</t>
        </is>
      </c>
      <c r="C18" s="7" t="inlineStr">
        <is>
          <t>シングルサインオン設定</t>
        </is>
      </c>
      <c r="D18" s="7" t="inlineStr">
        <is>
          <t>PoC</t>
        </is>
      </c>
      <c r="E18" s="7" t="inlineStr">
        <is>
          <t>Infra</t>
        </is>
      </c>
      <c r="F18" s="7" t="n">
        <v>2</v>
      </c>
      <c r="G18" s="7" t="n">
        <v>2.5</v>
      </c>
      <c r="H18" s="7">
        <f>G18-F18</f>
        <v/>
      </c>
      <c r="I18" s="7" t="n"/>
      <c r="J18" s="7" t="n"/>
    </row>
    <row r="19">
      <c r="A19" s="6" t="inlineStr">
        <is>
          <t>1.5</t>
        </is>
      </c>
      <c r="B19" s="6" t="inlineStr">
        <is>
          <t xml:space="preserve">    Đánh giá PoC</t>
        </is>
      </c>
      <c r="C19" s="6" t="inlineStr">
        <is>
          <t>PoC評価</t>
        </is>
      </c>
      <c r="D19" s="6" t="inlineStr">
        <is>
          <t>PoC</t>
        </is>
      </c>
      <c r="E19" s="6" t="n"/>
      <c r="F19" s="6" t="n"/>
      <c r="G19" s="6" t="n"/>
      <c r="H19" s="6" t="n"/>
      <c r="I19" s="6" t="n"/>
      <c r="J19" s="6" t="n"/>
    </row>
    <row r="20">
      <c r="A20" s="7" t="inlineStr">
        <is>
          <t>1.5.01</t>
        </is>
      </c>
      <c r="B20" s="7" t="inlineStr">
        <is>
          <t xml:space="preserve">        Bộ câu hỏi đánh giá và đáp án</t>
        </is>
      </c>
      <c r="C20" s="7" t="inlineStr">
        <is>
          <t>評価用質問・正解データ整備</t>
        </is>
      </c>
      <c r="D20" s="7" t="inlineStr">
        <is>
          <t>PoC</t>
        </is>
      </c>
      <c r="E20" s="7" t="inlineStr">
        <is>
          <t>QA</t>
        </is>
      </c>
      <c r="F20" s="7" t="n">
        <v>4.5</v>
      </c>
      <c r="G20" s="7" t="n">
        <v>5.5</v>
      </c>
      <c r="H20" s="7">
        <f>G20-F20</f>
        <v/>
      </c>
      <c r="I20" s="7" t="n"/>
      <c r="J20" s="7" t="n"/>
    </row>
    <row r="21">
      <c r="A21" s="7" t="inlineStr">
        <is>
          <t>1.5.02</t>
        </is>
      </c>
      <c r="B21" s="7" t="inlineStr">
        <is>
          <t xml:space="preserve">        Đo tỉ lệ trả lời đúng</t>
        </is>
      </c>
      <c r="C21" s="7" t="inlineStr">
        <is>
          <t>正答率測定</t>
        </is>
      </c>
      <c r="D21" s="7" t="inlineStr">
        <is>
          <t>PoC</t>
        </is>
      </c>
      <c r="E21" s="7" t="inlineStr">
        <is>
          <t>QA</t>
        </is>
      </c>
      <c r="F21" s="7" t="n">
        <v>4.5</v>
      </c>
      <c r="G21" s="7" t="n">
        <v>5.5</v>
      </c>
      <c r="H21" s="7">
        <f>G21-F21</f>
        <v/>
      </c>
      <c r="I21" s="7" t="n"/>
      <c r="J21" s="7" t="n"/>
    </row>
    <row r="22">
      <c r="A22" s="7" t="inlineStr">
        <is>
          <t>1.5.03</t>
        </is>
      </c>
      <c r="B22" s="7" t="inlineStr">
        <is>
          <t xml:space="preserve">        Đánh giá tại hiện trường</t>
        </is>
      </c>
      <c r="C22" s="7" t="inlineStr">
        <is>
          <t>現場評価（5段階）</t>
        </is>
      </c>
      <c r="D22" s="7" t="inlineStr">
        <is>
          <t>PoC</t>
        </is>
      </c>
      <c r="E22" s="7" t="inlineStr">
        <is>
          <t>QA</t>
        </is>
      </c>
      <c r="F22" s="7" t="n">
        <v>3</v>
      </c>
      <c r="G22" s="7" t="n">
        <v>3.5</v>
      </c>
      <c r="H22" s="7">
        <f>G22-F22</f>
        <v/>
      </c>
      <c r="I22" s="7" t="n"/>
      <c r="J22" s="7" t="n"/>
    </row>
    <row r="23">
      <c r="A23" s="7" t="inlineStr">
        <is>
          <t>1.5.04</t>
        </is>
      </c>
      <c r="B23" s="7" t="inlineStr">
        <is>
          <t xml:space="preserve">        Báo cáo kết quả, đề xuất go/no-go</t>
        </is>
      </c>
      <c r="C23" s="7" t="inlineStr">
        <is>
          <t>PoC結果報告・本開発判断資料</t>
        </is>
      </c>
      <c r="D23" s="7" t="inlineStr">
        <is>
          <t>PoC</t>
        </is>
      </c>
      <c r="E23" s="7" t="inlineStr">
        <is>
          <t>PM</t>
        </is>
      </c>
      <c r="F23" s="7" t="n">
        <v>4.5</v>
      </c>
      <c r="G23" s="7" t="n">
        <v>5.5</v>
      </c>
      <c r="H23" s="7">
        <f>G23-F23</f>
        <v/>
      </c>
      <c r="I23" s="7" t="n"/>
      <c r="J23" s="7" t="n"/>
    </row>
    <row r="24">
      <c r="A24" s="5" t="inlineStr">
        <is>
          <t>2</t>
        </is>
      </c>
      <c r="B24" s="5" t="inlineStr">
        <is>
          <t>MVP (本開発)</t>
        </is>
      </c>
      <c r="C24" s="5" t="inlineStr">
        <is>
          <t>本開発</t>
        </is>
      </c>
      <c r="D24" s="5" t="inlineStr">
        <is>
          <t>MVP</t>
        </is>
      </c>
      <c r="E24" s="5" t="n"/>
      <c r="F24" s="5" t="n"/>
      <c r="G24" s="5" t="n"/>
      <c r="H24" s="5" t="n"/>
      <c r="I24" s="5" t="n"/>
      <c r="J24" s="5" t="n"/>
    </row>
    <row r="25">
      <c r="A25" s="6" t="inlineStr">
        <is>
          <t>2.1</t>
        </is>
      </c>
      <c r="B25" s="6" t="inlineStr">
        <is>
          <t xml:space="preserve">    Quản lý dự án</t>
        </is>
      </c>
      <c r="C25" s="6" t="inlineStr">
        <is>
          <t>プロジェクト管理</t>
        </is>
      </c>
      <c r="D25" s="6" t="inlineStr">
        <is>
          <t>MVP</t>
        </is>
      </c>
      <c r="E25" s="6" t="n"/>
      <c r="F25" s="6" t="n"/>
      <c r="G25" s="6" t="n"/>
      <c r="H25" s="6" t="n"/>
      <c r="I25" s="6" t="n"/>
      <c r="J25" s="6" t="n"/>
    </row>
    <row r="26">
      <c r="A26" s="7" t="inlineStr">
        <is>
          <t>2.1.01</t>
        </is>
      </c>
      <c r="B26" s="7" t="inlineStr">
        <is>
          <t xml:space="preserve">        Kế hoạch chi tiết</t>
        </is>
      </c>
      <c r="C26" s="7" t="inlineStr">
        <is>
          <t>詳細計画</t>
        </is>
      </c>
      <c r="D26" s="7" t="inlineStr">
        <is>
          <t>MVP</t>
        </is>
      </c>
      <c r="E26" s="7" t="inlineStr">
        <is>
          <t>PM</t>
        </is>
      </c>
      <c r="F26" s="7" t="n">
        <v>6.5</v>
      </c>
      <c r="G26" s="7" t="n">
        <v>7</v>
      </c>
      <c r="H26" s="7">
        <f>G26-F26</f>
        <v/>
      </c>
      <c r="I26" s="7" t="n"/>
      <c r="J26" s="7" t="n"/>
    </row>
    <row r="27">
      <c r="A27" s="7" t="inlineStr">
        <is>
          <t>2.1.02</t>
        </is>
      </c>
      <c r="B27" s="7" t="inlineStr">
        <is>
          <t xml:space="preserve">        Họp tuần và báo cáo tháng (đợt 1/2)</t>
        </is>
      </c>
      <c r="C27" s="7" t="inlineStr">
        <is>
          <t>定例・月次報告（1/2）</t>
        </is>
      </c>
      <c r="D27" s="7" t="inlineStr">
        <is>
          <t>MVP</t>
        </is>
      </c>
      <c r="E27" s="7" t="inlineStr">
        <is>
          <t>PM</t>
        </is>
      </c>
      <c r="F27" s="7" t="n">
        <v>6.5</v>
      </c>
      <c r="G27" s="7" t="n">
        <v>7</v>
      </c>
      <c r="H27" s="7">
        <f>G27-F27</f>
        <v/>
      </c>
      <c r="I27" s="7" t="n"/>
      <c r="J27" s="7" t="n"/>
    </row>
    <row r="28">
      <c r="A28" s="7" t="inlineStr">
        <is>
          <t>2.1.03</t>
        </is>
      </c>
      <c r="B28" s="7" t="inlineStr">
        <is>
          <t xml:space="preserve">        Họp tuần và báo cáo tháng (đợt 2/2)</t>
        </is>
      </c>
      <c r="C28" s="7" t="inlineStr">
        <is>
          <t>定例・月次報告（2/2）</t>
        </is>
      </c>
      <c r="D28" s="7" t="inlineStr">
        <is>
          <t>MVP</t>
        </is>
      </c>
      <c r="E28" s="7" t="inlineStr">
        <is>
          <t>PM</t>
        </is>
      </c>
      <c r="F28" s="7" t="n">
        <v>6.5</v>
      </c>
      <c r="G28" s="7" t="n">
        <v>7</v>
      </c>
      <c r="H28" s="7">
        <f>G28-F28</f>
        <v/>
      </c>
      <c r="I28" s="7" t="n"/>
      <c r="J28" s="7" t="n"/>
    </row>
    <row r="29">
      <c r="A29" s="7" t="inlineStr">
        <is>
          <t>2.1.04</t>
        </is>
      </c>
      <c r="B29" s="7" t="inlineStr">
        <is>
          <t xml:space="preserve">        Quản lý rủi ro và thay đổi</t>
        </is>
      </c>
      <c r="C29" s="7" t="inlineStr">
        <is>
          <t>リスク・変更管理</t>
        </is>
      </c>
      <c r="D29" s="7" t="inlineStr">
        <is>
          <t>MVP</t>
        </is>
      </c>
      <c r="E29" s="7" t="inlineStr">
        <is>
          <t>PM</t>
        </is>
      </c>
      <c r="F29" s="7" t="n">
        <v>8</v>
      </c>
      <c r="G29" s="7" t="n">
        <v>8.5</v>
      </c>
      <c r="H29" s="7">
        <f>G29-F29</f>
        <v/>
      </c>
      <c r="I29" s="7" t="n"/>
      <c r="J29" s="7" t="n"/>
    </row>
    <row r="30">
      <c r="A30" s="7" t="inlineStr">
        <is>
          <t>2.1.05</t>
        </is>
      </c>
      <c r="B30" s="7" t="inlineStr">
        <is>
          <t xml:space="preserve">        BrSE giao tiếp với khách (đợt 1/2)</t>
        </is>
      </c>
      <c r="C30" s="7" t="inlineStr">
        <is>
          <t>ブリッジSE対応（1/2）</t>
        </is>
      </c>
      <c r="D30" s="7" t="inlineStr">
        <is>
          <t>MVP</t>
        </is>
      </c>
      <c r="E30" s="7" t="inlineStr">
        <is>
          <t>BrSE</t>
        </is>
      </c>
      <c r="F30" s="7" t="n">
        <v>6.5</v>
      </c>
      <c r="G30" s="7" t="n">
        <v>7</v>
      </c>
      <c r="H30" s="7">
        <f>G30-F30</f>
        <v/>
      </c>
      <c r="I30" s="7" t="n"/>
      <c r="J30" s="7" t="n"/>
    </row>
    <row r="31">
      <c r="A31" s="7" t="inlineStr">
        <is>
          <t>2.1.06</t>
        </is>
      </c>
      <c r="B31" s="7" t="inlineStr">
        <is>
          <t xml:space="preserve">        BrSE giao tiếp với khách (đợt 2/2)</t>
        </is>
      </c>
      <c r="C31" s="7" t="inlineStr">
        <is>
          <t>ブリッジSE対応（2/2）</t>
        </is>
      </c>
      <c r="D31" s="7" t="inlineStr">
        <is>
          <t>MVP</t>
        </is>
      </c>
      <c r="E31" s="7" t="inlineStr">
        <is>
          <t>BrSE</t>
        </is>
      </c>
      <c r="F31" s="7" t="n">
        <v>6.5</v>
      </c>
      <c r="G31" s="7" t="n">
        <v>7</v>
      </c>
      <c r="H31" s="7">
        <f>G31-F31</f>
        <v/>
      </c>
      <c r="I31" s="7" t="n"/>
      <c r="J31" s="7" t="n"/>
    </row>
    <row r="32">
      <c r="A32" s="6" t="inlineStr">
        <is>
          <t>2.2</t>
        </is>
      </c>
      <c r="B32" s="6" t="inlineStr">
        <is>
          <t xml:space="preserve">    Thiết kế</t>
        </is>
      </c>
      <c r="C32" s="6" t="inlineStr">
        <is>
          <t>設計</t>
        </is>
      </c>
      <c r="D32" s="6" t="inlineStr">
        <is>
          <t>MVP</t>
        </is>
      </c>
      <c r="E32" s="6" t="n"/>
      <c r="F32" s="6" t="n"/>
      <c r="G32" s="6" t="n"/>
      <c r="H32" s="6" t="n"/>
      <c r="I32" s="6" t="n"/>
      <c r="J32" s="6" t="n"/>
    </row>
    <row r="33">
      <c r="A33" s="7" t="inlineStr">
        <is>
          <t>2.2.01</t>
        </is>
      </c>
      <c r="B33" s="7" t="inlineStr">
        <is>
          <t xml:space="preserve">        Chi tiết hóa yêu cầu (đợt 1/2)</t>
        </is>
      </c>
      <c r="C33" s="7" t="inlineStr">
        <is>
          <t>要件定義詳細化（1/2）</t>
        </is>
      </c>
      <c r="D33" s="7" t="inlineStr">
        <is>
          <t>MVP</t>
        </is>
      </c>
      <c r="E33" s="7" t="inlineStr">
        <is>
          <t>BA</t>
        </is>
      </c>
      <c r="F33" s="7" t="n">
        <v>6.5</v>
      </c>
      <c r="G33" s="7" t="n">
        <v>7</v>
      </c>
      <c r="H33" s="7">
        <f>G33-F33</f>
        <v/>
      </c>
      <c r="I33" s="7" t="n"/>
      <c r="J33" s="7" t="n"/>
    </row>
    <row r="34">
      <c r="A34" s="7" t="inlineStr">
        <is>
          <t>2.2.02</t>
        </is>
      </c>
      <c r="B34" s="7" t="inlineStr">
        <is>
          <t xml:space="preserve">        Chi tiết hóa yêu cầu (đợt 2/2)</t>
        </is>
      </c>
      <c r="C34" s="7" t="inlineStr">
        <is>
          <t>要件定義詳細化（2/2）</t>
        </is>
      </c>
      <c r="D34" s="7" t="inlineStr">
        <is>
          <t>MVP</t>
        </is>
      </c>
      <c r="E34" s="7" t="inlineStr">
        <is>
          <t>BA</t>
        </is>
      </c>
      <c r="F34" s="7" t="n">
        <v>6.5</v>
      </c>
      <c r="G34" s="7" t="n">
        <v>7</v>
      </c>
      <c r="H34" s="7">
        <f>G34-F34</f>
        <v/>
      </c>
      <c r="I34" s="7" t="n"/>
      <c r="J34" s="7" t="n"/>
    </row>
    <row r="35">
      <c r="A35" s="7" t="inlineStr">
        <is>
          <t>2.2.03</t>
        </is>
      </c>
      <c r="B35" s="7" t="inlineStr">
        <is>
          <t xml:space="preserve">        Thiết kế kiến trúc cloud</t>
        </is>
      </c>
      <c r="C35" s="7" t="inlineStr">
        <is>
          <t>クラウドアーキテクチャ設計</t>
        </is>
      </c>
      <c r="D35" s="7" t="inlineStr">
        <is>
          <t>MVP</t>
        </is>
      </c>
      <c r="E35" s="7" t="inlineStr">
        <is>
          <t>Infra</t>
        </is>
      </c>
      <c r="F35" s="7" t="n">
        <v>8</v>
      </c>
      <c r="G35" s="7" t="n">
        <v>8.5</v>
      </c>
      <c r="H35" s="7">
        <f>G35-F35</f>
        <v/>
      </c>
      <c r="I35" s="7" t="n"/>
      <c r="J35" s="7" t="n"/>
    </row>
    <row r="36">
      <c r="A36" s="7" t="inlineStr">
        <is>
          <t>2.2.04</t>
        </is>
      </c>
      <c r="B36" s="7" t="inlineStr">
        <is>
          <t xml:space="preserve">        Thiết kế màn hình</t>
        </is>
      </c>
      <c r="C36" s="7" t="inlineStr">
        <is>
          <t>画面設計</t>
        </is>
      </c>
      <c r="D36" s="7" t="inlineStr">
        <is>
          <t>MVP</t>
        </is>
      </c>
      <c r="E36" s="7" t="inlineStr">
        <is>
          <t>Frontend</t>
        </is>
      </c>
      <c r="F36" s="7" t="n">
        <v>8</v>
      </c>
      <c r="G36" s="7" t="n">
        <v>8.5</v>
      </c>
      <c r="H36" s="7">
        <f>G36-F36</f>
        <v/>
      </c>
      <c r="I36" s="7" t="n"/>
      <c r="J36" s="7" t="n"/>
    </row>
    <row r="37">
      <c r="A37" s="7" t="inlineStr">
        <is>
          <t>2.2.05</t>
        </is>
      </c>
      <c r="B37" s="7" t="inlineStr">
        <is>
          <t xml:space="preserve">        Thiết kế bảo mật và phân quyền</t>
        </is>
      </c>
      <c r="C37" s="7" t="inlineStr">
        <is>
          <t>セキュリティ・権限設計</t>
        </is>
      </c>
      <c r="D37" s="7" t="inlineStr">
        <is>
          <t>MVP</t>
        </is>
      </c>
      <c r="E37" s="7" t="inlineStr">
        <is>
          <t>Backend</t>
        </is>
      </c>
      <c r="F37" s="7" t="n">
        <v>8</v>
      </c>
      <c r="G37" s="7" t="n">
        <v>8.5</v>
      </c>
      <c r="H37" s="7">
        <f>G37-F37</f>
        <v/>
      </c>
      <c r="I37" s="7" t="n"/>
      <c r="J37" s="7" t="n"/>
    </row>
    <row r="38">
      <c r="A38" s="6" t="inlineStr">
        <is>
          <t>2.3</t>
        </is>
      </c>
      <c r="B38" s="6" t="inlineStr">
        <is>
          <t xml:space="preserve">    Dữ liệu và chỉ mục toàn bộ</t>
        </is>
      </c>
      <c r="C38" s="6" t="inlineStr">
        <is>
          <t>全データ取込・インデックス</t>
        </is>
      </c>
      <c r="D38" s="6" t="inlineStr">
        <is>
          <t>MVP</t>
        </is>
      </c>
      <c r="E38" s="6" t="n"/>
      <c r="F38" s="6" t="n"/>
      <c r="G38" s="6" t="n"/>
      <c r="H38" s="6" t="n"/>
      <c r="I38" s="6" t="n"/>
      <c r="J38" s="6" t="n"/>
    </row>
    <row r="39">
      <c r="A39" s="8" t="inlineStr">
        <is>
          <t>2.3.01</t>
        </is>
      </c>
      <c r="B39" s="8" t="inlineStr">
        <is>
          <t xml:space="preserve">        OCR toàn bộ tài liệu scan (đợt 1/2)</t>
        </is>
      </c>
      <c r="C39" s="8" t="inlineStr">
        <is>
          <t>全スキャン文書のOCR（1/2）</t>
        </is>
      </c>
      <c r="D39" s="8" t="inlineStr">
        <is>
          <t>MVP</t>
        </is>
      </c>
      <c r="E39" s="8" t="inlineStr">
        <is>
          <t>AI Engineer</t>
        </is>
      </c>
      <c r="F39" s="8" t="n">
        <v>6.5</v>
      </c>
      <c r="G39" s="8" t="n">
        <v>13.5</v>
      </c>
      <c r="H39" s="8">
        <f>G39-F39</f>
        <v/>
      </c>
      <c r="I39" s="8" t="inlineStr">
        <is>
          <t>R-DOC-02</t>
        </is>
      </c>
      <c r="J39" s="8" t="inlineStr">
        <is>
          <t>Vượt ước lượng (xem bài học)</t>
        </is>
      </c>
    </row>
    <row r="40">
      <c r="A40" s="8" t="inlineStr">
        <is>
          <t>2.3.02</t>
        </is>
      </c>
      <c r="B40" s="8" t="inlineStr">
        <is>
          <t xml:space="preserve">        OCR toàn bộ tài liệu scan (đợt 2/2)</t>
        </is>
      </c>
      <c r="C40" s="8" t="inlineStr">
        <is>
          <t>全スキャン文書のOCR（2/2）</t>
        </is>
      </c>
      <c r="D40" s="8" t="inlineStr">
        <is>
          <t>MVP</t>
        </is>
      </c>
      <c r="E40" s="8" t="inlineStr">
        <is>
          <t>AI Engineer</t>
        </is>
      </c>
      <c r="F40" s="8" t="n">
        <v>6.5</v>
      </c>
      <c r="G40" s="8" t="n">
        <v>13.5</v>
      </c>
      <c r="H40" s="8">
        <f>G40-F40</f>
        <v/>
      </c>
      <c r="I40" s="8" t="inlineStr">
        <is>
          <t>R-DOC-02</t>
        </is>
      </c>
      <c r="J40" s="8" t="inlineStr">
        <is>
          <t>Vượt ước lượng (xem bài học)</t>
        </is>
      </c>
    </row>
    <row r="41">
      <c r="A41" s="8" t="inlineStr">
        <is>
          <t>2.3.03</t>
        </is>
      </c>
      <c r="B41" s="8" t="inlineStr">
        <is>
          <t xml:space="preserve">        Kiểm tra chất lượng OCR (đợt 1/2)</t>
        </is>
      </c>
      <c r="C41" s="8" t="inlineStr">
        <is>
          <t>OCR品質確認（1/2）</t>
        </is>
      </c>
      <c r="D41" s="8" t="inlineStr">
        <is>
          <t>MVP</t>
        </is>
      </c>
      <c r="E41" s="8" t="inlineStr">
        <is>
          <t>QA</t>
        </is>
      </c>
      <c r="F41" s="8" t="n">
        <v>5</v>
      </c>
      <c r="G41" s="8" t="n">
        <v>10.5</v>
      </c>
      <c r="H41" s="8">
        <f>G41-F41</f>
        <v/>
      </c>
      <c r="I41" s="8" t="inlineStr">
        <is>
          <t>R-DOC-02</t>
        </is>
      </c>
      <c r="J41" s="8" t="inlineStr">
        <is>
          <t>Vượt ước lượng (xem bài học)</t>
        </is>
      </c>
    </row>
    <row r="42">
      <c r="A42" s="8" t="inlineStr">
        <is>
          <t>2.3.04</t>
        </is>
      </c>
      <c r="B42" s="8" t="inlineStr">
        <is>
          <t xml:space="preserve">        Kiểm tra chất lượng OCR (đợt 2/2)</t>
        </is>
      </c>
      <c r="C42" s="8" t="inlineStr">
        <is>
          <t>OCR品質確認（2/2）</t>
        </is>
      </c>
      <c r="D42" s="8" t="inlineStr">
        <is>
          <t>MVP</t>
        </is>
      </c>
      <c r="E42" s="8" t="inlineStr">
        <is>
          <t>QA</t>
        </is>
      </c>
      <c r="F42" s="8" t="n">
        <v>5</v>
      </c>
      <c r="G42" s="8" t="n">
        <v>10.5</v>
      </c>
      <c r="H42" s="8">
        <f>G42-F42</f>
        <v/>
      </c>
      <c r="I42" s="8" t="inlineStr">
        <is>
          <t>R-DOC-02</t>
        </is>
      </c>
      <c r="J42" s="8" t="inlineStr">
        <is>
          <t>Vượt ước lượng (xem bài học)</t>
        </is>
      </c>
    </row>
    <row r="43">
      <c r="A43" s="7" t="inlineStr">
        <is>
          <t>2.3.05</t>
        </is>
      </c>
      <c r="B43" s="7" t="inlineStr">
        <is>
          <t xml:space="preserve">        Quản lý phiên bản tài liệu (đợt 1/2)</t>
        </is>
      </c>
      <c r="C43" s="7" t="inlineStr">
        <is>
          <t>文書版管理（1/2）</t>
        </is>
      </c>
      <c r="D43" s="7" t="inlineStr">
        <is>
          <t>MVP</t>
        </is>
      </c>
      <c r="E43" s="7" t="inlineStr">
        <is>
          <t>Backend</t>
        </is>
      </c>
      <c r="F43" s="7" t="n">
        <v>5</v>
      </c>
      <c r="G43" s="7" t="n">
        <v>6</v>
      </c>
      <c r="H43" s="7">
        <f>G43-F43</f>
        <v/>
      </c>
      <c r="I43" s="7" t="n"/>
      <c r="J43" s="7" t="n"/>
    </row>
    <row r="44">
      <c r="A44" s="7" t="inlineStr">
        <is>
          <t>2.3.06</t>
        </is>
      </c>
      <c r="B44" s="7" t="inlineStr">
        <is>
          <t xml:space="preserve">        Quản lý phiên bản tài liệu (đợt 2/2)</t>
        </is>
      </c>
      <c r="C44" s="7" t="inlineStr">
        <is>
          <t>文書版管理（2/2）</t>
        </is>
      </c>
      <c r="D44" s="7" t="inlineStr">
        <is>
          <t>MVP</t>
        </is>
      </c>
      <c r="E44" s="7" t="inlineStr">
        <is>
          <t>Backend</t>
        </is>
      </c>
      <c r="F44" s="7" t="n">
        <v>5</v>
      </c>
      <c r="G44" s="7" t="n">
        <v>6</v>
      </c>
      <c r="H44" s="7">
        <f>G44-F44</f>
        <v/>
      </c>
      <c r="I44" s="7" t="n"/>
      <c r="J44" s="7" t="n"/>
    </row>
    <row r="45">
      <c r="A45" s="7" t="inlineStr">
        <is>
          <t>2.3.07</t>
        </is>
      </c>
      <c r="B45" s="7" t="inlineStr">
        <is>
          <t xml:space="preserve">        Phân quyền tài liệu theo nhà máy (đợt 1/2)</t>
        </is>
      </c>
      <c r="C45" s="7" t="inlineStr">
        <is>
          <t>工場別閲覧権限（1/2）</t>
        </is>
      </c>
      <c r="D45" s="7" t="inlineStr">
        <is>
          <t>MVP</t>
        </is>
      </c>
      <c r="E45" s="7" t="inlineStr">
        <is>
          <t>Backend</t>
        </is>
      </c>
      <c r="F45" s="7" t="n">
        <v>5</v>
      </c>
      <c r="G45" s="7" t="n">
        <v>6</v>
      </c>
      <c r="H45" s="7">
        <f>G45-F45</f>
        <v/>
      </c>
      <c r="I45" s="7" t="n"/>
      <c r="J45" s="7" t="n"/>
    </row>
    <row r="46">
      <c r="A46" s="7" t="inlineStr">
        <is>
          <t>2.3.08</t>
        </is>
      </c>
      <c r="B46" s="7" t="inlineStr">
        <is>
          <t xml:space="preserve">        Phân quyền tài liệu theo nhà máy (đợt 2/2)</t>
        </is>
      </c>
      <c r="C46" s="7" t="inlineStr">
        <is>
          <t>工場別閲覧権限（2/2）</t>
        </is>
      </c>
      <c r="D46" s="7" t="inlineStr">
        <is>
          <t>MVP</t>
        </is>
      </c>
      <c r="E46" s="7" t="inlineStr">
        <is>
          <t>Backend</t>
        </is>
      </c>
      <c r="F46" s="7" t="n">
        <v>5</v>
      </c>
      <c r="G46" s="7" t="n">
        <v>6</v>
      </c>
      <c r="H46" s="7">
        <f>G46-F46</f>
        <v/>
      </c>
      <c r="I46" s="7" t="n"/>
      <c r="J46" s="7" t="n"/>
    </row>
    <row r="47">
      <c r="A47" s="6" t="inlineStr">
        <is>
          <t>2.4</t>
        </is>
      </c>
      <c r="B47" s="6" t="inlineStr">
        <is>
          <t xml:space="preserve">    Chức năng hỏi đáp</t>
        </is>
      </c>
      <c r="C47" s="6" t="inlineStr">
        <is>
          <t>質問応答機能</t>
        </is>
      </c>
      <c r="D47" s="6" t="inlineStr">
        <is>
          <t>MVP</t>
        </is>
      </c>
      <c r="E47" s="6" t="n"/>
      <c r="F47" s="6" t="n"/>
      <c r="G47" s="6" t="n"/>
      <c r="H47" s="6" t="n"/>
      <c r="I47" s="6" t="n"/>
      <c r="J47" s="6" t="n"/>
    </row>
    <row r="48">
      <c r="A48" s="7" t="inlineStr">
        <is>
          <t>2.4.01</t>
        </is>
      </c>
      <c r="B48" s="7" t="inlineStr">
        <is>
          <t xml:space="preserve">        Cải thiện tìm kiếm (hybrid, rerank) (đợt 1/2)</t>
        </is>
      </c>
      <c r="C48" s="7" t="inlineStr">
        <is>
          <t>検索精度改善（ハイブリッド・リランク）（1/2）</t>
        </is>
      </c>
      <c r="D48" s="7" t="inlineStr">
        <is>
          <t>MVP</t>
        </is>
      </c>
      <c r="E48" s="7" t="inlineStr">
        <is>
          <t>AI Engineer</t>
        </is>
      </c>
      <c r="F48" s="7" t="n">
        <v>6.5</v>
      </c>
      <c r="G48" s="7" t="n">
        <v>7</v>
      </c>
      <c r="H48" s="7">
        <f>G48-F48</f>
        <v/>
      </c>
      <c r="I48" s="7" t="n"/>
      <c r="J48" s="7" t="n"/>
    </row>
    <row r="49">
      <c r="A49" s="7" t="inlineStr">
        <is>
          <t>2.4.02</t>
        </is>
      </c>
      <c r="B49" s="7" t="inlineStr">
        <is>
          <t xml:space="preserve">        Cải thiện tìm kiếm (hybrid, rerank) (đợt 2/2)</t>
        </is>
      </c>
      <c r="C49" s="7" t="inlineStr">
        <is>
          <t>検索精度改善（ハイブリッド・リランク）（2/2）</t>
        </is>
      </c>
      <c r="D49" s="7" t="inlineStr">
        <is>
          <t>MVP</t>
        </is>
      </c>
      <c r="E49" s="7" t="inlineStr">
        <is>
          <t>AI Engineer</t>
        </is>
      </c>
      <c r="F49" s="7" t="n">
        <v>6.5</v>
      </c>
      <c r="G49" s="7" t="n">
        <v>7</v>
      </c>
      <c r="H49" s="7">
        <f>G49-F49</f>
        <v/>
      </c>
      <c r="I49" s="7" t="n"/>
      <c r="J49" s="7" t="n"/>
    </row>
    <row r="50">
      <c r="A50" s="7" t="inlineStr">
        <is>
          <t>2.4.03</t>
        </is>
      </c>
      <c r="B50" s="7" t="inlineStr">
        <is>
          <t xml:space="preserve">        Lọc theo mã thiết bị, mã lỗi</t>
        </is>
      </c>
      <c r="C50" s="7" t="inlineStr">
        <is>
          <t>設備ID・アラームコード絞り込み</t>
        </is>
      </c>
      <c r="D50" s="7" t="inlineStr">
        <is>
          <t>MVP</t>
        </is>
      </c>
      <c r="E50" s="7" t="inlineStr">
        <is>
          <t>AI Engineer</t>
        </is>
      </c>
      <c r="F50" s="7" t="n">
        <v>8</v>
      </c>
      <c r="G50" s="7" t="n">
        <v>8.5</v>
      </c>
      <c r="H50" s="7">
        <f>G50-F50</f>
        <v/>
      </c>
      <c r="I50" s="7" t="n"/>
      <c r="J50" s="7" t="n"/>
    </row>
    <row r="51">
      <c r="A51" s="7" t="inlineStr">
        <is>
          <t>2.4.04</t>
        </is>
      </c>
      <c r="B51" s="7" t="inlineStr">
        <is>
          <t xml:space="preserve">        Hỏi tiếp theo ngữ cảnh</t>
        </is>
      </c>
      <c r="C51" s="7" t="inlineStr">
        <is>
          <t>追加質問への対応</t>
        </is>
      </c>
      <c r="D51" s="7" t="inlineStr">
        <is>
          <t>MVP</t>
        </is>
      </c>
      <c r="E51" s="7" t="inlineStr">
        <is>
          <t>AI Engineer</t>
        </is>
      </c>
      <c r="F51" s="7" t="n">
        <v>8</v>
      </c>
      <c r="G51" s="7" t="n">
        <v>8.5</v>
      </c>
      <c r="H51" s="7">
        <f>G51-F51</f>
        <v/>
      </c>
      <c r="I51" s="7" t="n"/>
      <c r="J51" s="7" t="n"/>
    </row>
    <row r="52">
      <c r="A52" s="7" t="inlineStr">
        <is>
          <t>2.4.05</t>
        </is>
      </c>
      <c r="B52" s="7" t="inlineStr">
        <is>
          <t xml:space="preserve">        Hiển thị hình và bảng</t>
        </is>
      </c>
      <c r="C52" s="7" t="inlineStr">
        <is>
          <t>図表表示</t>
        </is>
      </c>
      <c r="D52" s="7" t="inlineStr">
        <is>
          <t>MVP</t>
        </is>
      </c>
      <c r="E52" s="7" t="inlineStr">
        <is>
          <t>Frontend</t>
        </is>
      </c>
      <c r="F52" s="7" t="n">
        <v>8</v>
      </c>
      <c r="G52" s="7" t="n">
        <v>8.5</v>
      </c>
      <c r="H52" s="7">
        <f>G52-F52</f>
        <v/>
      </c>
      <c r="I52" s="7" t="n"/>
      <c r="J52" s="7" t="n"/>
    </row>
    <row r="53">
      <c r="A53" s="7" t="inlineStr">
        <is>
          <t>2.4.06</t>
        </is>
      </c>
      <c r="B53" s="7" t="inlineStr">
        <is>
          <t xml:space="preserve">        Phản hồi của người dùng</t>
        </is>
      </c>
      <c r="C53" s="7" t="inlineStr">
        <is>
          <t>回答フィードバック</t>
        </is>
      </c>
      <c r="D53" s="7" t="inlineStr">
        <is>
          <t>MVP</t>
        </is>
      </c>
      <c r="E53" s="7" t="inlineStr">
        <is>
          <t>Frontend</t>
        </is>
      </c>
      <c r="F53" s="7" t="n">
        <v>6.5</v>
      </c>
      <c r="G53" s="7" t="n">
        <v>7</v>
      </c>
      <c r="H53" s="7">
        <f>G53-F53</f>
        <v/>
      </c>
      <c r="I53" s="7" t="n"/>
      <c r="J53" s="7" t="n"/>
    </row>
    <row r="54">
      <c r="A54" s="6" t="inlineStr">
        <is>
          <t>2.5</t>
        </is>
      </c>
      <c r="B54" s="6" t="inlineStr">
        <is>
          <t xml:space="preserve">    Kênh sử dụng và quản trị</t>
        </is>
      </c>
      <c r="C54" s="6" t="inlineStr">
        <is>
          <t>利用チャネル・管理機能</t>
        </is>
      </c>
      <c r="D54" s="6" t="inlineStr">
        <is>
          <t>MVP</t>
        </is>
      </c>
      <c r="E54" s="6" t="n"/>
      <c r="F54" s="6" t="n"/>
      <c r="G54" s="6" t="n"/>
      <c r="H54" s="6" t="n"/>
      <c r="I54" s="6" t="n"/>
      <c r="J54" s="6" t="n"/>
    </row>
    <row r="55">
      <c r="A55" s="7" t="inlineStr">
        <is>
          <t>2.5.01</t>
        </is>
      </c>
      <c r="B55" s="7" t="inlineStr">
        <is>
          <t xml:space="preserve">        Dashboard tình hình sử dụng (đợt 1/2)</t>
        </is>
      </c>
      <c r="C55" s="7" t="inlineStr">
        <is>
          <t>利用状況ダッシュボード（1/2）</t>
        </is>
      </c>
      <c r="D55" s="7" t="inlineStr">
        <is>
          <t>MVP</t>
        </is>
      </c>
      <c r="E55" s="7" t="inlineStr">
        <is>
          <t>Frontend</t>
        </is>
      </c>
      <c r="F55" s="7" t="n">
        <v>5</v>
      </c>
      <c r="G55" s="7" t="n">
        <v>6</v>
      </c>
      <c r="H55" s="7">
        <f>G55-F55</f>
        <v/>
      </c>
      <c r="I55" s="7" t="n"/>
      <c r="J55" s="7" t="n"/>
    </row>
    <row r="56">
      <c r="A56" s="7" t="inlineStr">
        <is>
          <t>2.5.02</t>
        </is>
      </c>
      <c r="B56" s="7" t="inlineStr">
        <is>
          <t xml:space="preserve">        Dashboard tình hình sử dụng (đợt 2/2)</t>
        </is>
      </c>
      <c r="C56" s="7" t="inlineStr">
        <is>
          <t>利用状況ダッシュボード（2/2）</t>
        </is>
      </c>
      <c r="D56" s="7" t="inlineStr">
        <is>
          <t>MVP</t>
        </is>
      </c>
      <c r="E56" s="7" t="inlineStr">
        <is>
          <t>Frontend</t>
        </is>
      </c>
      <c r="F56" s="7" t="n">
        <v>5</v>
      </c>
      <c r="G56" s="7" t="n">
        <v>6</v>
      </c>
      <c r="H56" s="7">
        <f>G56-F56</f>
        <v/>
      </c>
      <c r="I56" s="7" t="n"/>
      <c r="J56" s="7" t="n"/>
    </row>
    <row r="57">
      <c r="A57" s="7" t="inlineStr">
        <is>
          <t>2.5.03</t>
        </is>
      </c>
      <c r="B57" s="7" t="inlineStr">
        <is>
          <t xml:space="preserve">        Cải thiện câu trả lời bị đánh giá thấp</t>
        </is>
      </c>
      <c r="C57" s="7" t="inlineStr">
        <is>
          <t>低評価回答の改善機能</t>
        </is>
      </c>
      <c r="D57" s="7" t="inlineStr">
        <is>
          <t>MVP</t>
        </is>
      </c>
      <c r="E57" s="7" t="inlineStr">
        <is>
          <t>Frontend</t>
        </is>
      </c>
      <c r="F57" s="7" t="n">
        <v>7.5</v>
      </c>
      <c r="G57" s="7" t="n">
        <v>8</v>
      </c>
      <c r="H57" s="7">
        <f>G57-F57</f>
        <v/>
      </c>
      <c r="I57" s="7" t="n"/>
      <c r="J57" s="7" t="n"/>
    </row>
    <row r="58">
      <c r="A58" s="7" t="inlineStr">
        <is>
          <t>2.5.04</t>
        </is>
      </c>
      <c r="B58" s="7" t="inlineStr">
        <is>
          <t xml:space="preserve">        Quản lý người dùng theo nhóm</t>
        </is>
      </c>
      <c r="C58" s="7" t="inlineStr">
        <is>
          <t>利用者・権限管理（グループ連携）</t>
        </is>
      </c>
      <c r="D58" s="7" t="inlineStr">
        <is>
          <t>MVP</t>
        </is>
      </c>
      <c r="E58" s="7" t="inlineStr">
        <is>
          <t>Backend</t>
        </is>
      </c>
      <c r="F58" s="7" t="n">
        <v>6.5</v>
      </c>
      <c r="G58" s="7" t="n">
        <v>7</v>
      </c>
      <c r="H58" s="7">
        <f>G58-F58</f>
        <v/>
      </c>
      <c r="I58" s="7" t="n"/>
      <c r="J58" s="7" t="n"/>
    </row>
    <row r="59">
      <c r="A59" s="7" t="inlineStr">
        <is>
          <t>2.5.05</t>
        </is>
      </c>
      <c r="B59" s="7" t="inlineStr">
        <is>
          <t xml:space="preserve">        Log thao tác</t>
        </is>
      </c>
      <c r="C59" s="7" t="inlineStr">
        <is>
          <t>操作ログ</t>
        </is>
      </c>
      <c r="D59" s="7" t="inlineStr">
        <is>
          <t>MVP</t>
        </is>
      </c>
      <c r="E59" s="7" t="inlineStr">
        <is>
          <t>Backend</t>
        </is>
      </c>
      <c r="F59" s="7" t="n">
        <v>6.5</v>
      </c>
      <c r="G59" s="7" t="n">
        <v>7</v>
      </c>
      <c r="H59" s="7">
        <f>G59-F59</f>
        <v/>
      </c>
      <c r="I59" s="7" t="n"/>
      <c r="J59" s="7" t="n"/>
    </row>
    <row r="60">
      <c r="A60" s="6" t="inlineStr">
        <is>
          <t>2.6</t>
        </is>
      </c>
      <c r="B60" s="6" t="inlineStr">
        <is>
          <t xml:space="preserve">    Hạ tầng và bảo mật</t>
        </is>
      </c>
      <c r="C60" s="6" t="inlineStr">
        <is>
          <t>基盤・セキュリティ</t>
        </is>
      </c>
      <c r="D60" s="6" t="inlineStr">
        <is>
          <t>MVP</t>
        </is>
      </c>
      <c r="E60" s="6" t="n"/>
      <c r="F60" s="6" t="n"/>
      <c r="G60" s="6" t="n"/>
      <c r="H60" s="6" t="n"/>
      <c r="I60" s="6" t="n"/>
      <c r="J60" s="6" t="n"/>
    </row>
    <row r="61">
      <c r="A61" s="7" t="inlineStr">
        <is>
          <t>2.6.01</t>
        </is>
      </c>
      <c r="B61" s="7" t="inlineStr">
        <is>
          <t xml:space="preserve">        Ba môi trường dev, stg, prod (đợt 1/2)</t>
        </is>
      </c>
      <c r="C61" s="7" t="inlineStr">
        <is>
          <t>開発・検証・本番環境構築（1/2）</t>
        </is>
      </c>
      <c r="D61" s="7" t="inlineStr">
        <is>
          <t>MVP</t>
        </is>
      </c>
      <c r="E61" s="7" t="inlineStr">
        <is>
          <t>Infra</t>
        </is>
      </c>
      <c r="F61" s="7" t="n">
        <v>5.5</v>
      </c>
      <c r="G61" s="7" t="n">
        <v>6</v>
      </c>
      <c r="H61" s="7">
        <f>G61-F61</f>
        <v/>
      </c>
      <c r="I61" s="7" t="n"/>
      <c r="J61" s="7" t="n"/>
    </row>
    <row r="62">
      <c r="A62" s="7" t="inlineStr">
        <is>
          <t>2.6.02</t>
        </is>
      </c>
      <c r="B62" s="7" t="inlineStr">
        <is>
          <t xml:space="preserve">        Ba môi trường dev, stg, prod (đợt 2/2)</t>
        </is>
      </c>
      <c r="C62" s="7" t="inlineStr">
        <is>
          <t>開発・検証・本番環境構築（2/2）</t>
        </is>
      </c>
      <c r="D62" s="7" t="inlineStr">
        <is>
          <t>MVP</t>
        </is>
      </c>
      <c r="E62" s="7" t="inlineStr">
        <is>
          <t>Infra</t>
        </is>
      </c>
      <c r="F62" s="7" t="n">
        <v>5.5</v>
      </c>
      <c r="G62" s="7" t="n">
        <v>6</v>
      </c>
      <c r="H62" s="7">
        <f>G62-F62</f>
        <v/>
      </c>
      <c r="I62" s="7" t="n"/>
      <c r="J62" s="7" t="n"/>
    </row>
    <row r="63">
      <c r="A63" s="7" t="inlineStr">
        <is>
          <t>2.6.03</t>
        </is>
      </c>
      <c r="B63" s="7" t="inlineStr">
        <is>
          <t xml:space="preserve">        Kết nối nội bộ và mã hóa</t>
        </is>
      </c>
      <c r="C63" s="7" t="inlineStr">
        <is>
          <t>閉域接続・暗号化</t>
        </is>
      </c>
      <c r="D63" s="7" t="inlineStr">
        <is>
          <t>MVP</t>
        </is>
      </c>
      <c r="E63" s="7" t="inlineStr">
        <is>
          <t>Infra</t>
        </is>
      </c>
      <c r="F63" s="7" t="n">
        <v>7.5</v>
      </c>
      <c r="G63" s="7" t="n">
        <v>8</v>
      </c>
      <c r="H63" s="7">
        <f>G63-F63</f>
        <v/>
      </c>
      <c r="I63" s="7" t="n"/>
      <c r="J63" s="7" t="n"/>
    </row>
    <row r="64">
      <c r="A64" s="7" t="inlineStr">
        <is>
          <t>2.6.04</t>
        </is>
      </c>
      <c r="B64" s="7" t="inlineStr">
        <is>
          <t xml:space="preserve">        Giám sát hệ thống</t>
        </is>
      </c>
      <c r="C64" s="7" t="inlineStr">
        <is>
          <t>監視設定</t>
        </is>
      </c>
      <c r="D64" s="7" t="inlineStr">
        <is>
          <t>MVP</t>
        </is>
      </c>
      <c r="E64" s="7" t="inlineStr">
        <is>
          <t>Infra</t>
        </is>
      </c>
      <c r="F64" s="7" t="n">
        <v>5</v>
      </c>
      <c r="G64" s="7" t="n">
        <v>5.5</v>
      </c>
      <c r="H64" s="7">
        <f>G64-F64</f>
        <v/>
      </c>
      <c r="I64" s="7" t="n"/>
      <c r="J64" s="7" t="n"/>
    </row>
    <row r="65">
      <c r="A65" s="6" t="inlineStr">
        <is>
          <t>2.7</t>
        </is>
      </c>
      <c r="B65" s="6" t="inlineStr">
        <is>
          <t xml:space="preserve">    Kiểm thử</t>
        </is>
      </c>
      <c r="C65" s="6" t="inlineStr">
        <is>
          <t>テスト</t>
        </is>
      </c>
      <c r="D65" s="6" t="inlineStr">
        <is>
          <t>MVP</t>
        </is>
      </c>
      <c r="E65" s="6" t="n"/>
      <c r="F65" s="6" t="n"/>
      <c r="G65" s="6" t="n"/>
      <c r="H65" s="6" t="n"/>
      <c r="I65" s="6" t="n"/>
      <c r="J65" s="6" t="n"/>
    </row>
    <row r="66">
      <c r="A66" s="7" t="inlineStr">
        <is>
          <t>2.7.01</t>
        </is>
      </c>
      <c r="B66" s="7" t="inlineStr">
        <is>
          <t xml:space="preserve">        Kiểm thử chức năng (đợt 1/2)</t>
        </is>
      </c>
      <c r="C66" s="7" t="inlineStr">
        <is>
          <t>機能テスト（1/2）</t>
        </is>
      </c>
      <c r="D66" s="7" t="inlineStr">
        <is>
          <t>MVP</t>
        </is>
      </c>
      <c r="E66" s="7" t="inlineStr">
        <is>
          <t>QA</t>
        </is>
      </c>
      <c r="F66" s="7" t="n">
        <v>6.5</v>
      </c>
      <c r="G66" s="7" t="n">
        <v>7</v>
      </c>
      <c r="H66" s="7">
        <f>G66-F66</f>
        <v/>
      </c>
      <c r="I66" s="7" t="n"/>
      <c r="J66" s="7" t="n"/>
    </row>
    <row r="67">
      <c r="A67" s="7" t="inlineStr">
        <is>
          <t>2.7.02</t>
        </is>
      </c>
      <c r="B67" s="7" t="inlineStr">
        <is>
          <t xml:space="preserve">        Kiểm thử chức năng (đợt 2/2)</t>
        </is>
      </c>
      <c r="C67" s="7" t="inlineStr">
        <is>
          <t>機能テスト（2/2）</t>
        </is>
      </c>
      <c r="D67" s="7" t="inlineStr">
        <is>
          <t>MVP</t>
        </is>
      </c>
      <c r="E67" s="7" t="inlineStr">
        <is>
          <t>QA</t>
        </is>
      </c>
      <c r="F67" s="7" t="n">
        <v>6.5</v>
      </c>
      <c r="G67" s="7" t="n">
        <v>7</v>
      </c>
      <c r="H67" s="7">
        <f>G67-F67</f>
        <v/>
      </c>
      <c r="I67" s="7" t="n"/>
      <c r="J67" s="7" t="n"/>
    </row>
    <row r="68">
      <c r="A68" s="7" t="inlineStr">
        <is>
          <t>2.7.03</t>
        </is>
      </c>
      <c r="B68" s="7" t="inlineStr">
        <is>
          <t xml:space="preserve">        Kiểm thử hiệu năng</t>
        </is>
      </c>
      <c r="C68" s="7" t="inlineStr">
        <is>
          <t>性能テスト</t>
        </is>
      </c>
      <c r="D68" s="7" t="inlineStr">
        <is>
          <t>MVP</t>
        </is>
      </c>
      <c r="E68" s="7" t="inlineStr">
        <is>
          <t>QA</t>
        </is>
      </c>
      <c r="F68" s="7" t="n">
        <v>7.5</v>
      </c>
      <c r="G68" s="7" t="n">
        <v>8</v>
      </c>
      <c r="H68" s="7">
        <f>G68-F68</f>
        <v/>
      </c>
      <c r="I68" s="7" t="n"/>
      <c r="J68" s="7" t="n"/>
    </row>
    <row r="69">
      <c r="A69" s="7" t="inlineStr">
        <is>
          <t>2.7.04</t>
        </is>
      </c>
      <c r="B69" s="7" t="inlineStr">
        <is>
          <t xml:space="preserve">        Kiểm thử bảo mật</t>
        </is>
      </c>
      <c r="C69" s="7" t="inlineStr">
        <is>
          <t>セキュリティテスト</t>
        </is>
      </c>
      <c r="D69" s="7" t="inlineStr">
        <is>
          <t>MVP</t>
        </is>
      </c>
      <c r="E69" s="7" t="inlineStr">
        <is>
          <t>QA</t>
        </is>
      </c>
      <c r="F69" s="7" t="n">
        <v>6.5</v>
      </c>
      <c r="G69" s="7" t="n">
        <v>7</v>
      </c>
      <c r="H69" s="7">
        <f>G69-F69</f>
        <v/>
      </c>
      <c r="I69" s="7" t="n"/>
      <c r="J69" s="7" t="n"/>
    </row>
    <row r="70">
      <c r="A70" s="7" t="inlineStr">
        <is>
          <t>2.7.05</t>
        </is>
      </c>
      <c r="B70" s="7" t="inlineStr">
        <is>
          <t xml:space="preserve">        Đánh giá lại tỉ lệ trả lời đúng</t>
        </is>
      </c>
      <c r="C70" s="7" t="inlineStr">
        <is>
          <t>正答率再評価</t>
        </is>
      </c>
      <c r="D70" s="7" t="inlineStr">
        <is>
          <t>MVP</t>
        </is>
      </c>
      <c r="E70" s="7" t="inlineStr">
        <is>
          <t>QA</t>
        </is>
      </c>
      <c r="F70" s="7" t="n">
        <v>7.5</v>
      </c>
      <c r="G70" s="7" t="n">
        <v>8</v>
      </c>
      <c r="H70" s="7">
        <f>G70-F70</f>
        <v/>
      </c>
      <c r="I70" s="7" t="n"/>
      <c r="J70" s="7" t="n"/>
    </row>
    <row r="71">
      <c r="A71" s="7" t="inlineStr">
        <is>
          <t>2.7.06</t>
        </is>
      </c>
      <c r="B71" s="7" t="inlineStr">
        <is>
          <t xml:space="preserve">        Hỗ trợ nghiệm thu (UAT)</t>
        </is>
      </c>
      <c r="C71" s="7" t="inlineStr">
        <is>
          <t>受入テスト支援</t>
        </is>
      </c>
      <c r="D71" s="7" t="inlineStr">
        <is>
          <t>MVP</t>
        </is>
      </c>
      <c r="E71" s="7" t="inlineStr">
        <is>
          <t>PM</t>
        </is>
      </c>
      <c r="F71" s="7" t="n">
        <v>7.5</v>
      </c>
      <c r="G71" s="7" t="n">
        <v>8</v>
      </c>
      <c r="H71" s="7">
        <f>G71-F71</f>
        <v/>
      </c>
      <c r="I71" s="7" t="n"/>
      <c r="J71" s="7" t="n"/>
    </row>
    <row r="72">
      <c r="A72" s="5" t="inlineStr">
        <is>
          <t>3</t>
        </is>
      </c>
      <c r="B72" s="5" t="inlineStr">
        <is>
          <t>Production (展開・運用)</t>
        </is>
      </c>
      <c r="C72" s="5" t="inlineStr">
        <is>
          <t>展開・運用</t>
        </is>
      </c>
      <c r="D72" s="5" t="inlineStr">
        <is>
          <t>Production</t>
        </is>
      </c>
      <c r="E72" s="5" t="n"/>
      <c r="F72" s="5" t="n"/>
      <c r="G72" s="5" t="n"/>
      <c r="H72" s="5" t="n"/>
      <c r="I72" s="5" t="n"/>
      <c r="J72" s="5" t="n"/>
    </row>
    <row r="73">
      <c r="A73" s="6" t="inlineStr">
        <is>
          <t>3.1</t>
        </is>
      </c>
      <c r="B73" s="6" t="inlineStr">
        <is>
          <t xml:space="preserve">    Triển khai</t>
        </is>
      </c>
      <c r="C73" s="6" t="inlineStr">
        <is>
          <t>展開</t>
        </is>
      </c>
      <c r="D73" s="6" t="inlineStr">
        <is>
          <t>Production</t>
        </is>
      </c>
      <c r="E73" s="6" t="n"/>
      <c r="F73" s="6" t="n"/>
      <c r="G73" s="6" t="n"/>
      <c r="H73" s="6" t="n"/>
      <c r="I73" s="6" t="n"/>
      <c r="J73" s="6" t="n"/>
    </row>
    <row r="74">
      <c r="A74" s="7" t="inlineStr">
        <is>
          <t>3.1.01</t>
        </is>
      </c>
      <c r="B74" s="7" t="inlineStr">
        <is>
          <t xml:space="preserve">        Kế hoạch triển khai</t>
        </is>
      </c>
      <c r="C74" s="7" t="inlineStr">
        <is>
          <t>展開計画</t>
        </is>
      </c>
      <c r="D74" s="7" t="inlineStr">
        <is>
          <t>Production</t>
        </is>
      </c>
      <c r="E74" s="7" t="inlineStr">
        <is>
          <t>PM</t>
        </is>
      </c>
      <c r="F74" s="7" t="n">
        <v>4.5</v>
      </c>
      <c r="G74" s="7" t="n">
        <v>5</v>
      </c>
      <c r="H74" s="7">
        <f>G74-F74</f>
        <v/>
      </c>
      <c r="I74" s="7" t="n"/>
      <c r="J74" s="7" t="n"/>
    </row>
    <row r="75">
      <c r="A75" s="8" t="inlineStr">
        <is>
          <t>3.1.02</t>
        </is>
      </c>
      <c r="B75" s="8" t="inlineStr">
        <is>
          <t xml:space="preserve">        Nạp dữ liệu nhà máy thứ hai</t>
        </is>
      </c>
      <c r="C75" s="8" t="inlineStr">
        <is>
          <t>第2工場データ投入</t>
        </is>
      </c>
      <c r="D75" s="8" t="inlineStr">
        <is>
          <t>Production</t>
        </is>
      </c>
      <c r="E75" s="8" t="inlineStr">
        <is>
          <t>AI Engineer</t>
        </is>
      </c>
      <c r="F75" s="8" t="n">
        <v>8</v>
      </c>
      <c r="G75" s="8" t="n">
        <v>16.5</v>
      </c>
      <c r="H75" s="8">
        <f>G75-F75</f>
        <v/>
      </c>
      <c r="I75" s="8" t="inlineStr">
        <is>
          <t>R-DOC-02</t>
        </is>
      </c>
      <c r="J75" s="8" t="inlineStr">
        <is>
          <t>Vượt ước lượng (xem bài học)</t>
        </is>
      </c>
    </row>
    <row r="76">
      <c r="A76" s="7" t="inlineStr">
        <is>
          <t>3.1.03</t>
        </is>
      </c>
      <c r="B76" s="7" t="inlineStr">
        <is>
          <t xml:space="preserve">        Kiểm tra chất lượng dữ liệu nạp</t>
        </is>
      </c>
      <c r="C76" s="7" t="inlineStr">
        <is>
          <t>投入データ品質確認</t>
        </is>
      </c>
      <c r="D76" s="7" t="inlineStr">
        <is>
          <t>Production</t>
        </is>
      </c>
      <c r="E76" s="7" t="inlineStr">
        <is>
          <t>QA</t>
        </is>
      </c>
      <c r="F76" s="7" t="n">
        <v>7</v>
      </c>
      <c r="G76" s="7" t="n">
        <v>7.5</v>
      </c>
      <c r="H76" s="7">
        <f>G76-F76</f>
        <v/>
      </c>
      <c r="I76" s="7" t="n"/>
      <c r="J76" s="7" t="n"/>
    </row>
    <row r="77">
      <c r="A77" s="7" t="inlineStr">
        <is>
          <t>3.1.04</t>
        </is>
      </c>
      <c r="B77" s="7" t="inlineStr">
        <is>
          <t xml:space="preserve">        Release production</t>
        </is>
      </c>
      <c r="C77" s="7" t="inlineStr">
        <is>
          <t>本番リリース</t>
        </is>
      </c>
      <c r="D77" s="7" t="inlineStr">
        <is>
          <t>Production</t>
        </is>
      </c>
      <c r="E77" s="7" t="inlineStr">
        <is>
          <t>Infra</t>
        </is>
      </c>
      <c r="F77" s="7" t="n">
        <v>6</v>
      </c>
      <c r="G77" s="7" t="n">
        <v>6.5</v>
      </c>
      <c r="H77" s="7">
        <f>G77-F77</f>
        <v/>
      </c>
      <c r="I77" s="7" t="n"/>
      <c r="J77" s="7" t="n"/>
    </row>
    <row r="78">
      <c r="A78" s="7" t="inlineStr">
        <is>
          <t>3.1.05</t>
        </is>
      </c>
      <c r="B78" s="7" t="inlineStr">
        <is>
          <t xml:space="preserve">        Kiểm thử chấp nhận cuối</t>
        </is>
      </c>
      <c r="C78" s="7" t="inlineStr">
        <is>
          <t>最終受入確認</t>
        </is>
      </c>
      <c r="D78" s="7" t="inlineStr">
        <is>
          <t>Production</t>
        </is>
      </c>
      <c r="E78" s="7" t="inlineStr">
        <is>
          <t>QA</t>
        </is>
      </c>
      <c r="F78" s="7" t="n">
        <v>7</v>
      </c>
      <c r="G78" s="7" t="n">
        <v>7.5</v>
      </c>
      <c r="H78" s="7">
        <f>G78-F78</f>
        <v/>
      </c>
      <c r="I78" s="7" t="n"/>
      <c r="J78" s="7" t="n"/>
    </row>
    <row r="79">
      <c r="A79" s="6" t="inlineStr">
        <is>
          <t>3.2</t>
        </is>
      </c>
      <c r="B79" s="6" t="inlineStr">
        <is>
          <t xml:space="preserve">    Ổn định sau go-live</t>
        </is>
      </c>
      <c r="C79" s="6" t="inlineStr">
        <is>
          <t>稼働後安定化</t>
        </is>
      </c>
      <c r="D79" s="6" t="inlineStr">
        <is>
          <t>Production</t>
        </is>
      </c>
      <c r="E79" s="6" t="n"/>
      <c r="F79" s="6" t="n"/>
      <c r="G79" s="6" t="n"/>
      <c r="H79" s="6" t="n"/>
      <c r="I79" s="6" t="n"/>
      <c r="J79" s="6" t="n"/>
    </row>
    <row r="80">
      <c r="A80" s="7" t="inlineStr">
        <is>
          <t>3.2.01</t>
        </is>
      </c>
      <c r="B80" s="7" t="inlineStr">
        <is>
          <t xml:space="preserve">        Hỗ trợ sau go-live, tuần 1–2</t>
        </is>
      </c>
      <c r="C80" s="7" t="inlineStr">
        <is>
          <t>ハイパーケア（1〜2週）</t>
        </is>
      </c>
      <c r="D80" s="7" t="inlineStr">
        <is>
          <t>Production</t>
        </is>
      </c>
      <c r="E80" s="7" t="inlineStr">
        <is>
          <t>Backend</t>
        </is>
      </c>
      <c r="F80" s="7" t="n">
        <v>9.5</v>
      </c>
      <c r="G80" s="7" t="n">
        <v>9.5</v>
      </c>
      <c r="H80" s="7">
        <f>G80-F80</f>
        <v/>
      </c>
      <c r="I80" s="7" t="n"/>
      <c r="J80" s="7" t="n"/>
    </row>
    <row r="81">
      <c r="A81" s="7" t="inlineStr">
        <is>
          <t>3.2.02</t>
        </is>
      </c>
      <c r="B81" s="7" t="inlineStr">
        <is>
          <t xml:space="preserve">        Hỗ trợ sau go-live, tuần 3–4</t>
        </is>
      </c>
      <c r="C81" s="7" t="inlineStr">
        <is>
          <t>ハイパーケア（3〜4週）</t>
        </is>
      </c>
      <c r="D81" s="7" t="inlineStr">
        <is>
          <t>Production</t>
        </is>
      </c>
      <c r="E81" s="7" t="inlineStr">
        <is>
          <t>Backend</t>
        </is>
      </c>
      <c r="F81" s="7" t="n">
        <v>7</v>
      </c>
      <c r="G81" s="7" t="n">
        <v>7.5</v>
      </c>
      <c r="H81" s="7">
        <f>G81-F81</f>
        <v/>
      </c>
      <c r="I81" s="7" t="n"/>
      <c r="J81" s="7" t="n"/>
    </row>
    <row r="82">
      <c r="A82" s="7" t="inlineStr">
        <is>
          <t>3.2.03</t>
        </is>
      </c>
      <c r="B82" s="7" t="inlineStr">
        <is>
          <t xml:space="preserve">        Sửa lỗi phát sinh</t>
        </is>
      </c>
      <c r="C82" s="7" t="inlineStr">
        <is>
          <t>不具合修正</t>
        </is>
      </c>
      <c r="D82" s="7" t="inlineStr">
        <is>
          <t>Production</t>
        </is>
      </c>
      <c r="E82" s="7" t="inlineStr">
        <is>
          <t>Frontend</t>
        </is>
      </c>
      <c r="F82" s="7" t="n">
        <v>7</v>
      </c>
      <c r="G82" s="7" t="n">
        <v>7.5</v>
      </c>
      <c r="H82" s="7">
        <f>G82-F82</f>
        <v/>
      </c>
      <c r="I82" s="7" t="n"/>
      <c r="J82" s="7" t="n"/>
    </row>
    <row r="83">
      <c r="A83" s="7" t="inlineStr">
        <is>
          <t>3.2.04</t>
        </is>
      </c>
      <c r="B83" s="7" t="inlineStr">
        <is>
          <t xml:space="preserve">        Tinh chỉnh hiệu năng và chi phí</t>
        </is>
      </c>
      <c r="C83" s="7" t="inlineStr">
        <is>
          <t>性能・コスト最適化</t>
        </is>
      </c>
      <c r="D83" s="7" t="inlineStr">
        <is>
          <t>Production</t>
        </is>
      </c>
      <c r="E83" s="7" t="inlineStr">
        <is>
          <t>Infra</t>
        </is>
      </c>
      <c r="F83" s="7" t="n">
        <v>6</v>
      </c>
      <c r="G83" s="7" t="n">
        <v>6.5</v>
      </c>
      <c r="H83" s="7">
        <f>G83-F83</f>
        <v/>
      </c>
      <c r="I83" s="7" t="n"/>
      <c r="J83" s="7" t="n"/>
    </row>
    <row r="84">
      <c r="A84" s="7" t="inlineStr">
        <is>
          <t>3.2.05</t>
        </is>
      </c>
      <c r="B84" s="7" t="inlineStr">
        <is>
          <t xml:space="preserve">        Tinh chỉnh câu trả lời</t>
        </is>
      </c>
      <c r="C84" s="7" t="inlineStr">
        <is>
          <t>回答品質チューニング</t>
        </is>
      </c>
      <c r="D84" s="7" t="inlineStr">
        <is>
          <t>Production</t>
        </is>
      </c>
      <c r="E84" s="7" t="inlineStr">
        <is>
          <t>AI Engineer</t>
        </is>
      </c>
      <c r="F84" s="7" t="n">
        <v>8</v>
      </c>
      <c r="G84" s="7" t="n">
        <v>8</v>
      </c>
      <c r="H84" s="7">
        <f>G84-F84</f>
        <v/>
      </c>
      <c r="I84" s="7" t="n"/>
      <c r="J84" s="7" t="n"/>
    </row>
    <row r="85">
      <c r="A85" s="6" t="inlineStr">
        <is>
          <t>3.3</t>
        </is>
      </c>
      <c r="B85" s="6" t="inlineStr">
        <is>
          <t xml:space="preserve">    Đào tạo và tài liệu</t>
        </is>
      </c>
      <c r="C85" s="6" t="inlineStr">
        <is>
          <t>教育・マニュアル</t>
        </is>
      </c>
      <c r="D85" s="6" t="inlineStr">
        <is>
          <t>Production</t>
        </is>
      </c>
      <c r="E85" s="6" t="n"/>
      <c r="F85" s="6" t="n"/>
      <c r="G85" s="6" t="n"/>
      <c r="H85" s="6" t="n"/>
      <c r="I85" s="6" t="n"/>
      <c r="J85" s="6" t="n"/>
    </row>
    <row r="86">
      <c r="A86" s="7" t="inlineStr">
        <is>
          <t>3.3.01</t>
        </is>
      </c>
      <c r="B86" s="7" t="inlineStr">
        <is>
          <t xml:space="preserve">        Đào tạo quản trị viên</t>
        </is>
      </c>
      <c r="C86" s="7" t="inlineStr">
        <is>
          <t>管理者研修</t>
        </is>
      </c>
      <c r="D86" s="7" t="inlineStr">
        <is>
          <t>Production</t>
        </is>
      </c>
      <c r="E86" s="7" t="inlineStr">
        <is>
          <t>BA</t>
        </is>
      </c>
      <c r="F86" s="7" t="n">
        <v>4</v>
      </c>
      <c r="G86" s="7" t="n">
        <v>4.5</v>
      </c>
      <c r="H86" s="7">
        <f>G86-F86</f>
        <v/>
      </c>
      <c r="I86" s="7" t="n"/>
      <c r="J86" s="7" t="n"/>
    </row>
    <row r="87">
      <c r="A87" s="7" t="inlineStr">
        <is>
          <t>3.3.02</t>
        </is>
      </c>
      <c r="B87" s="7" t="inlineStr">
        <is>
          <t xml:space="preserve">        Đào tạo người dùng tại Nhật</t>
        </is>
      </c>
      <c r="C87" s="7" t="inlineStr">
        <is>
          <t>国内利用者説明会</t>
        </is>
      </c>
      <c r="D87" s="7" t="inlineStr">
        <is>
          <t>Production</t>
        </is>
      </c>
      <c r="E87" s="7" t="inlineStr">
        <is>
          <t>BA</t>
        </is>
      </c>
      <c r="F87" s="7" t="n">
        <v>4.5</v>
      </c>
      <c r="G87" s="7" t="n">
        <v>5</v>
      </c>
      <c r="H87" s="7">
        <f>G87-F87</f>
        <v/>
      </c>
      <c r="I87" s="7" t="n"/>
      <c r="J87" s="7" t="n"/>
    </row>
    <row r="88">
      <c r="A88" s="6" t="inlineStr">
        <is>
          <t>3.4</t>
        </is>
      </c>
      <c r="B88" s="6" t="inlineStr">
        <is>
          <t xml:space="preserve">    Vận hành và bàn giao</t>
        </is>
      </c>
      <c r="C88" s="6" t="inlineStr">
        <is>
          <t>運用・引継ぎ</t>
        </is>
      </c>
      <c r="D88" s="6" t="inlineStr">
        <is>
          <t>Production</t>
        </is>
      </c>
      <c r="E88" s="6" t="n"/>
      <c r="F88" s="6" t="n"/>
      <c r="G88" s="6" t="n"/>
      <c r="H88" s="6" t="n"/>
      <c r="I88" s="6" t="n"/>
      <c r="J88" s="6" t="n"/>
    </row>
    <row r="89">
      <c r="A89" s="7" t="inlineStr">
        <is>
          <t>3.4.01</t>
        </is>
      </c>
      <c r="B89" s="7" t="inlineStr">
        <is>
          <t xml:space="preserve">        Runbook vận hành</t>
        </is>
      </c>
      <c r="C89" s="7" t="inlineStr">
        <is>
          <t>運用手順書</t>
        </is>
      </c>
      <c r="D89" s="7" t="inlineStr">
        <is>
          <t>Production</t>
        </is>
      </c>
      <c r="E89" s="7" t="inlineStr">
        <is>
          <t>Infra</t>
        </is>
      </c>
      <c r="F89" s="7" t="n">
        <v>6</v>
      </c>
      <c r="G89" s="7" t="n">
        <v>6.5</v>
      </c>
      <c r="H89" s="7">
        <f>G89-F89</f>
        <v/>
      </c>
      <c r="I89" s="7" t="n"/>
      <c r="J89" s="7" t="n"/>
    </row>
    <row r="90">
      <c r="A90" s="7" t="inlineStr">
        <is>
          <t>3.4.02</t>
        </is>
      </c>
      <c r="B90" s="7" t="inlineStr">
        <is>
          <t xml:space="preserve">        Quy trình cập nhật LLM và đánh giá lại</t>
        </is>
      </c>
      <c r="C90" s="7" t="inlineStr">
        <is>
          <t>LLM更新手順・再評価</t>
        </is>
      </c>
      <c r="D90" s="7" t="inlineStr">
        <is>
          <t>Production</t>
        </is>
      </c>
      <c r="E90" s="7" t="inlineStr">
        <is>
          <t>AI Engineer</t>
        </is>
      </c>
      <c r="F90" s="7" t="n">
        <v>4.5</v>
      </c>
      <c r="G90" s="7" t="n">
        <v>5</v>
      </c>
      <c r="H90" s="7">
        <f>G90-F90</f>
        <v/>
      </c>
      <c r="I90" s="7" t="n"/>
      <c r="J90" s="7" t="n"/>
    </row>
    <row r="91">
      <c r="A91" s="7" t="inlineStr">
        <is>
          <t>3.4.03</t>
        </is>
      </c>
      <c r="B91" s="7" t="inlineStr">
        <is>
          <t xml:space="preserve">        Giám sát và cảnh báo</t>
        </is>
      </c>
      <c r="C91" s="7" t="inlineStr">
        <is>
          <t>監視・アラート設定</t>
        </is>
      </c>
      <c r="D91" s="7" t="inlineStr">
        <is>
          <t>Production</t>
        </is>
      </c>
      <c r="E91" s="7" t="inlineStr">
        <is>
          <t>Infra</t>
        </is>
      </c>
      <c r="F91" s="7" t="n">
        <v>4.5</v>
      </c>
      <c r="G91" s="7" t="n">
        <v>5</v>
      </c>
      <c r="H91" s="7">
        <f>G91-F91</f>
        <v/>
      </c>
      <c r="I91" s="7" t="n"/>
      <c r="J91" s="7" t="n"/>
    </row>
    <row r="92">
      <c r="A92" s="7" t="inlineStr">
        <is>
          <t>3.4.04</t>
        </is>
      </c>
      <c r="B92" s="7" t="inlineStr">
        <is>
          <t xml:space="preserve">        Báo cáo tháng</t>
        </is>
      </c>
      <c r="C92" s="7" t="inlineStr">
        <is>
          <t>月次報告</t>
        </is>
      </c>
      <c r="D92" s="7" t="inlineStr">
        <is>
          <t>Production</t>
        </is>
      </c>
      <c r="E92" s="7" t="inlineStr">
        <is>
          <t>PM</t>
        </is>
      </c>
      <c r="F92" s="7" t="n">
        <v>6</v>
      </c>
      <c r="G92" s="7" t="n">
        <v>6.5</v>
      </c>
      <c r="H92" s="7">
        <f>G92-F92</f>
        <v/>
      </c>
      <c r="I92" s="7" t="n"/>
      <c r="J92" s="7" t="n"/>
    </row>
    <row r="93">
      <c r="A93" s="7" t="inlineStr">
        <is>
          <t>3.4.05</t>
        </is>
      </c>
      <c r="B93" s="7" t="inlineStr">
        <is>
          <t xml:space="preserve">        Bàn giao</t>
        </is>
      </c>
      <c r="C93" s="7" t="inlineStr">
        <is>
          <t>引継ぎ</t>
        </is>
      </c>
      <c r="D93" s="7" t="inlineStr">
        <is>
          <t>Production</t>
        </is>
      </c>
      <c r="E93" s="7" t="inlineStr">
        <is>
          <t>PM</t>
        </is>
      </c>
      <c r="F93" s="7" t="n">
        <v>4.5</v>
      </c>
      <c r="G93" s="7" t="n">
        <v>5</v>
      </c>
      <c r="H93" s="7">
        <f>G93-F93</f>
        <v/>
      </c>
      <c r="I93" s="7" t="n"/>
      <c r="J93" s="7" t="n"/>
    </row>
    <row r="94">
      <c r="A94" s="7" t="inlineStr">
        <is>
          <t>3.4.06</t>
        </is>
      </c>
      <c r="B94" s="7" t="inlineStr">
        <is>
          <t xml:space="preserve">        Kiểm thử hồi quy</t>
        </is>
      </c>
      <c r="C94" s="7" t="inlineStr">
        <is>
          <t>回帰テスト</t>
        </is>
      </c>
      <c r="D94" s="7" t="inlineStr">
        <is>
          <t>Production</t>
        </is>
      </c>
      <c r="E94" s="7" t="inlineStr">
        <is>
          <t>QA</t>
        </is>
      </c>
      <c r="F94" s="7" t="n">
        <v>6</v>
      </c>
      <c r="G94" s="7" t="n">
        <v>6.5</v>
      </c>
      <c r="H94" s="7">
        <f>G94-F94</f>
        <v/>
      </c>
      <c r="I94" s="7" t="n"/>
      <c r="J94" s="7" t="n"/>
    </row>
    <row r="95">
      <c r="B95" s="2" t="inlineStr">
        <is>
          <t>TỔNG</t>
        </is>
      </c>
      <c r="F95" s="2">
        <f>SUM(F2:F94)</f>
        <v/>
      </c>
      <c r="G95" s="2">
        <f>SUM(G2:G94)</f>
        <v/>
      </c>
      <c r="H95" s="2">
        <f>G95-F95</f>
        <v/>
      </c>
    </row>
  </sheetData>
  <autoFilter ref="A1:J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8" customWidth="1" min="4" max="4"/>
    <col width="20" customWidth="1" min="5" max="5"/>
  </cols>
  <sheetData>
    <row r="1">
      <c r="A1" s="4" t="inlineStr">
        <is>
          <t>Giai đoạn</t>
        </is>
      </c>
      <c r="B1" s="4" t="inlineStr">
        <is>
          <t>Vai trò</t>
        </is>
      </c>
      <c r="C1" s="4" t="inlineStr">
        <is>
          <t>Man-day ước lượng</t>
        </is>
      </c>
      <c r="D1" s="4" t="inlineStr">
        <is>
          <t>Man-day thực tế</t>
        </is>
      </c>
      <c r="E1" s="4" t="inlineStr">
        <is>
          <t>Thực tế / ước lượng</t>
        </is>
      </c>
    </row>
    <row r="2">
      <c r="A2" t="inlineStr">
        <is>
          <t>PoC</t>
        </is>
      </c>
      <c r="B2" t="inlineStr">
        <is>
          <t>PM</t>
        </is>
      </c>
      <c r="C2">
        <f>SUMIFS(WBS!F2:F94,WBS!D2:D94,A2,WBS!E2:E94,B2)</f>
        <v/>
      </c>
      <c r="D2">
        <f>SUMIFS(WBS!G2:G94,WBS!D2:D94,A2,WBS!E2:E94,B2)</f>
        <v/>
      </c>
      <c r="E2">
        <f>IF(C2=0,"",ROUND(D2/C2,2))</f>
        <v/>
      </c>
    </row>
    <row r="3">
      <c r="A3" t="inlineStr">
        <is>
          <t>PoC</t>
        </is>
      </c>
      <c r="B3" t="inlineStr">
        <is>
          <t>BA</t>
        </is>
      </c>
      <c r="C3">
        <f>SUMIFS(WBS!F2:F94,WBS!D2:D94,A3,WBS!E2:E94,B3)</f>
        <v/>
      </c>
      <c r="D3">
        <f>SUMIFS(WBS!G2:G94,WBS!D2:D94,A3,WBS!E2:E94,B3)</f>
        <v/>
      </c>
      <c r="E3">
        <f>IF(C3=0,"",ROUND(D3/C3,2))</f>
        <v/>
      </c>
    </row>
    <row r="4">
      <c r="A4" t="inlineStr">
        <is>
          <t>PoC</t>
        </is>
      </c>
      <c r="B4" t="inlineStr">
        <is>
          <t>BrSE</t>
        </is>
      </c>
      <c r="C4">
        <f>SUMIFS(WBS!F2:F94,WBS!D2:D94,A4,WBS!E2:E94,B4)</f>
        <v/>
      </c>
      <c r="D4">
        <f>SUMIFS(WBS!G2:G94,WBS!D2:D94,A4,WBS!E2:E94,B4)</f>
        <v/>
      </c>
      <c r="E4">
        <f>IF(C4=0,"",ROUND(D4/C4,2))</f>
        <v/>
      </c>
    </row>
    <row r="5">
      <c r="A5" t="inlineStr">
        <is>
          <t>PoC</t>
        </is>
      </c>
      <c r="B5" t="inlineStr">
        <is>
          <t>AI Engineer</t>
        </is>
      </c>
      <c r="C5">
        <f>SUMIFS(WBS!F2:F94,WBS!D2:D94,A5,WBS!E2:E94,B5)</f>
        <v/>
      </c>
      <c r="D5">
        <f>SUMIFS(WBS!G2:G94,WBS!D2:D94,A5,WBS!E2:E94,B5)</f>
        <v/>
      </c>
      <c r="E5">
        <f>IF(C5=0,"",ROUND(D5/C5,2))</f>
        <v/>
      </c>
    </row>
    <row r="6">
      <c r="A6" t="inlineStr">
        <is>
          <t>PoC</t>
        </is>
      </c>
      <c r="B6" t="inlineStr">
        <is>
          <t>Backend</t>
        </is>
      </c>
      <c r="C6">
        <f>SUMIFS(WBS!F2:F94,WBS!D2:D94,A6,WBS!E2:E94,B6)</f>
        <v/>
      </c>
      <c r="D6">
        <f>SUMIFS(WBS!G2:G94,WBS!D2:D94,A6,WBS!E2:E94,B6)</f>
        <v/>
      </c>
      <c r="E6">
        <f>IF(C6=0,"",ROUND(D6/C6,2))</f>
        <v/>
      </c>
    </row>
    <row r="7">
      <c r="A7" t="inlineStr">
        <is>
          <t>PoC</t>
        </is>
      </c>
      <c r="B7" t="inlineStr">
        <is>
          <t>Frontend</t>
        </is>
      </c>
      <c r="C7">
        <f>SUMIFS(WBS!F2:F94,WBS!D2:D94,A7,WBS!E2:E94,B7)</f>
        <v/>
      </c>
      <c r="D7">
        <f>SUMIFS(WBS!G2:G94,WBS!D2:D94,A7,WBS!E2:E94,B7)</f>
        <v/>
      </c>
      <c r="E7">
        <f>IF(C7=0,"",ROUND(D7/C7,2))</f>
        <v/>
      </c>
    </row>
    <row r="8">
      <c r="A8" t="inlineStr">
        <is>
          <t>PoC</t>
        </is>
      </c>
      <c r="B8" t="inlineStr">
        <is>
          <t>QA</t>
        </is>
      </c>
      <c r="C8">
        <f>SUMIFS(WBS!F2:F94,WBS!D2:D94,A8,WBS!E2:E94,B8)</f>
        <v/>
      </c>
      <c r="D8">
        <f>SUMIFS(WBS!G2:G94,WBS!D2:D94,A8,WBS!E2:E94,B8)</f>
        <v/>
      </c>
      <c r="E8">
        <f>IF(C8=0,"",ROUND(D8/C8,2))</f>
        <v/>
      </c>
    </row>
    <row r="9">
      <c r="A9" t="inlineStr">
        <is>
          <t>PoC</t>
        </is>
      </c>
      <c r="B9" t="inlineStr">
        <is>
          <t>Infra</t>
        </is>
      </c>
      <c r="C9">
        <f>SUMIFS(WBS!F2:F94,WBS!D2:D94,A9,WBS!E2:E94,B9)</f>
        <v/>
      </c>
      <c r="D9">
        <f>SUMIFS(WBS!G2:G94,WBS!D2:D94,A9,WBS!E2:E94,B9)</f>
        <v/>
      </c>
      <c r="E9">
        <f>IF(C9=0,"",ROUND(D9/C9,2))</f>
        <v/>
      </c>
    </row>
    <row r="10">
      <c r="A10" s="9" t="inlineStr">
        <is>
          <t>Tổng PoC</t>
        </is>
      </c>
      <c r="B10" s="10" t="n"/>
      <c r="C10" s="9">
        <f>SUMIFS(WBS!F2:F94,WBS!D2:D94,"PoC")</f>
        <v/>
      </c>
      <c r="D10" s="9">
        <f>SUMIFS(WBS!G2:G94,WBS!D2:D94,"PoC")</f>
        <v/>
      </c>
      <c r="E10" s="9">
        <f>IF(C10=0,"",ROUND(D10/C10,2))</f>
        <v/>
      </c>
    </row>
    <row r="11">
      <c r="A11" t="inlineStr">
        <is>
          <t>MVP</t>
        </is>
      </c>
      <c r="B11" t="inlineStr">
        <is>
          <t>PM</t>
        </is>
      </c>
      <c r="C11">
        <f>SUMIFS(WBS!F2:F94,WBS!D2:D94,A11,WBS!E2:E94,B11)</f>
        <v/>
      </c>
      <c r="D11">
        <f>SUMIFS(WBS!G2:G94,WBS!D2:D94,A11,WBS!E2:E94,B11)</f>
        <v/>
      </c>
      <c r="E11">
        <f>IF(C11=0,"",ROUND(D11/C11,2))</f>
        <v/>
      </c>
    </row>
    <row r="12">
      <c r="A12" t="inlineStr">
        <is>
          <t>MVP</t>
        </is>
      </c>
      <c r="B12" t="inlineStr">
        <is>
          <t>BA</t>
        </is>
      </c>
      <c r="C12">
        <f>SUMIFS(WBS!F2:F94,WBS!D2:D94,A12,WBS!E2:E94,B12)</f>
        <v/>
      </c>
      <c r="D12">
        <f>SUMIFS(WBS!G2:G94,WBS!D2:D94,A12,WBS!E2:E94,B12)</f>
        <v/>
      </c>
      <c r="E12">
        <f>IF(C12=0,"",ROUND(D12/C12,2))</f>
        <v/>
      </c>
    </row>
    <row r="13">
      <c r="A13" t="inlineStr">
        <is>
          <t>MVP</t>
        </is>
      </c>
      <c r="B13" t="inlineStr">
        <is>
          <t>BrSE</t>
        </is>
      </c>
      <c r="C13">
        <f>SUMIFS(WBS!F2:F94,WBS!D2:D94,A13,WBS!E2:E94,B13)</f>
        <v/>
      </c>
      <c r="D13">
        <f>SUMIFS(WBS!G2:G94,WBS!D2:D94,A13,WBS!E2:E94,B13)</f>
        <v/>
      </c>
      <c r="E13">
        <f>IF(C13=0,"",ROUND(D13/C13,2))</f>
        <v/>
      </c>
    </row>
    <row r="14">
      <c r="A14" t="inlineStr">
        <is>
          <t>MVP</t>
        </is>
      </c>
      <c r="B14" t="inlineStr">
        <is>
          <t>AI Engineer</t>
        </is>
      </c>
      <c r="C14">
        <f>SUMIFS(WBS!F2:F94,WBS!D2:D94,A14,WBS!E2:E94,B14)</f>
        <v/>
      </c>
      <c r="D14">
        <f>SUMIFS(WBS!G2:G94,WBS!D2:D94,A14,WBS!E2:E94,B14)</f>
        <v/>
      </c>
      <c r="E14">
        <f>IF(C14=0,"",ROUND(D14/C14,2))</f>
        <v/>
      </c>
    </row>
    <row r="15">
      <c r="A15" t="inlineStr">
        <is>
          <t>MVP</t>
        </is>
      </c>
      <c r="B15" t="inlineStr">
        <is>
          <t>Backend</t>
        </is>
      </c>
      <c r="C15">
        <f>SUMIFS(WBS!F2:F94,WBS!D2:D94,A15,WBS!E2:E94,B15)</f>
        <v/>
      </c>
      <c r="D15">
        <f>SUMIFS(WBS!G2:G94,WBS!D2:D94,A15,WBS!E2:E94,B15)</f>
        <v/>
      </c>
      <c r="E15">
        <f>IF(C15=0,"",ROUND(D15/C15,2))</f>
        <v/>
      </c>
    </row>
    <row r="16">
      <c r="A16" t="inlineStr">
        <is>
          <t>MVP</t>
        </is>
      </c>
      <c r="B16" t="inlineStr">
        <is>
          <t>Frontend</t>
        </is>
      </c>
      <c r="C16">
        <f>SUMIFS(WBS!F2:F94,WBS!D2:D94,A16,WBS!E2:E94,B16)</f>
        <v/>
      </c>
      <c r="D16">
        <f>SUMIFS(WBS!G2:G94,WBS!D2:D94,A16,WBS!E2:E94,B16)</f>
        <v/>
      </c>
      <c r="E16">
        <f>IF(C16=0,"",ROUND(D16/C16,2))</f>
        <v/>
      </c>
    </row>
    <row r="17">
      <c r="A17" t="inlineStr">
        <is>
          <t>MVP</t>
        </is>
      </c>
      <c r="B17" t="inlineStr">
        <is>
          <t>QA</t>
        </is>
      </c>
      <c r="C17">
        <f>SUMIFS(WBS!F2:F94,WBS!D2:D94,A17,WBS!E2:E94,B17)</f>
        <v/>
      </c>
      <c r="D17">
        <f>SUMIFS(WBS!G2:G94,WBS!D2:D94,A17,WBS!E2:E94,B17)</f>
        <v/>
      </c>
      <c r="E17">
        <f>IF(C17=0,"",ROUND(D17/C17,2))</f>
        <v/>
      </c>
    </row>
    <row r="18">
      <c r="A18" t="inlineStr">
        <is>
          <t>MVP</t>
        </is>
      </c>
      <c r="B18" t="inlineStr">
        <is>
          <t>Infra</t>
        </is>
      </c>
      <c r="C18">
        <f>SUMIFS(WBS!F2:F94,WBS!D2:D94,A18,WBS!E2:E94,B18)</f>
        <v/>
      </c>
      <c r="D18">
        <f>SUMIFS(WBS!G2:G94,WBS!D2:D94,A18,WBS!E2:E94,B18)</f>
        <v/>
      </c>
      <c r="E18">
        <f>IF(C18=0,"",ROUND(D18/C18,2))</f>
        <v/>
      </c>
    </row>
    <row r="19">
      <c r="A19" s="9" t="inlineStr">
        <is>
          <t>Tổng MVP</t>
        </is>
      </c>
      <c r="B19" s="10" t="n"/>
      <c r="C19" s="9">
        <f>SUMIFS(WBS!F2:F94,WBS!D2:D94,"MVP")</f>
        <v/>
      </c>
      <c r="D19" s="9">
        <f>SUMIFS(WBS!G2:G94,WBS!D2:D94,"MVP")</f>
        <v/>
      </c>
      <c r="E19" s="9">
        <f>IF(C19=0,"",ROUND(D19/C19,2))</f>
        <v/>
      </c>
    </row>
    <row r="20">
      <c r="A20" t="inlineStr">
        <is>
          <t>Production</t>
        </is>
      </c>
      <c r="B20" t="inlineStr">
        <is>
          <t>PM</t>
        </is>
      </c>
      <c r="C20">
        <f>SUMIFS(WBS!F2:F94,WBS!D2:D94,A20,WBS!E2:E94,B20)</f>
        <v/>
      </c>
      <c r="D20">
        <f>SUMIFS(WBS!G2:G94,WBS!D2:D94,A20,WBS!E2:E94,B20)</f>
        <v/>
      </c>
      <c r="E20">
        <f>IF(C20=0,"",ROUND(D20/C20,2))</f>
        <v/>
      </c>
    </row>
    <row r="21">
      <c r="A21" t="inlineStr">
        <is>
          <t>Production</t>
        </is>
      </c>
      <c r="B21" t="inlineStr">
        <is>
          <t>BA</t>
        </is>
      </c>
      <c r="C21">
        <f>SUMIFS(WBS!F2:F94,WBS!D2:D94,A21,WBS!E2:E94,B21)</f>
        <v/>
      </c>
      <c r="D21">
        <f>SUMIFS(WBS!G2:G94,WBS!D2:D94,A21,WBS!E2:E94,B21)</f>
        <v/>
      </c>
      <c r="E21">
        <f>IF(C21=0,"",ROUND(D21/C21,2))</f>
        <v/>
      </c>
    </row>
    <row r="22">
      <c r="A22" t="inlineStr">
        <is>
          <t>Production</t>
        </is>
      </c>
      <c r="B22" t="inlineStr">
        <is>
          <t>BrSE</t>
        </is>
      </c>
      <c r="C22">
        <f>SUMIFS(WBS!F2:F94,WBS!D2:D94,A22,WBS!E2:E94,B22)</f>
        <v/>
      </c>
      <c r="D22">
        <f>SUMIFS(WBS!G2:G94,WBS!D2:D94,A22,WBS!E2:E94,B22)</f>
        <v/>
      </c>
      <c r="E22">
        <f>IF(C22=0,"",ROUND(D22/C22,2))</f>
        <v/>
      </c>
    </row>
    <row r="23">
      <c r="A23" t="inlineStr">
        <is>
          <t>Production</t>
        </is>
      </c>
      <c r="B23" t="inlineStr">
        <is>
          <t>AI Engineer</t>
        </is>
      </c>
      <c r="C23">
        <f>SUMIFS(WBS!F2:F94,WBS!D2:D94,A23,WBS!E2:E94,B23)</f>
        <v/>
      </c>
      <c r="D23">
        <f>SUMIFS(WBS!G2:G94,WBS!D2:D94,A23,WBS!E2:E94,B23)</f>
        <v/>
      </c>
      <c r="E23">
        <f>IF(C23=0,"",ROUND(D23/C23,2))</f>
        <v/>
      </c>
    </row>
    <row r="24">
      <c r="A24" t="inlineStr">
        <is>
          <t>Production</t>
        </is>
      </c>
      <c r="B24" t="inlineStr">
        <is>
          <t>Backend</t>
        </is>
      </c>
      <c r="C24">
        <f>SUMIFS(WBS!F2:F94,WBS!D2:D94,A24,WBS!E2:E94,B24)</f>
        <v/>
      </c>
      <c r="D24">
        <f>SUMIFS(WBS!G2:G94,WBS!D2:D94,A24,WBS!E2:E94,B24)</f>
        <v/>
      </c>
      <c r="E24">
        <f>IF(C24=0,"",ROUND(D24/C24,2))</f>
        <v/>
      </c>
    </row>
    <row r="25">
      <c r="A25" t="inlineStr">
        <is>
          <t>Production</t>
        </is>
      </c>
      <c r="B25" t="inlineStr">
        <is>
          <t>Frontend</t>
        </is>
      </c>
      <c r="C25">
        <f>SUMIFS(WBS!F2:F94,WBS!D2:D94,A25,WBS!E2:E94,B25)</f>
        <v/>
      </c>
      <c r="D25">
        <f>SUMIFS(WBS!G2:G94,WBS!D2:D94,A25,WBS!E2:E94,B25)</f>
        <v/>
      </c>
      <c r="E25">
        <f>IF(C25=0,"",ROUND(D25/C25,2))</f>
        <v/>
      </c>
    </row>
    <row r="26">
      <c r="A26" t="inlineStr">
        <is>
          <t>Production</t>
        </is>
      </c>
      <c r="B26" t="inlineStr">
        <is>
          <t>QA</t>
        </is>
      </c>
      <c r="C26">
        <f>SUMIFS(WBS!F2:F94,WBS!D2:D94,A26,WBS!E2:E94,B26)</f>
        <v/>
      </c>
      <c r="D26">
        <f>SUMIFS(WBS!G2:G94,WBS!D2:D94,A26,WBS!E2:E94,B26)</f>
        <v/>
      </c>
      <c r="E26">
        <f>IF(C26=0,"",ROUND(D26/C26,2))</f>
        <v/>
      </c>
    </row>
    <row r="27">
      <c r="A27" t="inlineStr">
        <is>
          <t>Production</t>
        </is>
      </c>
      <c r="B27" t="inlineStr">
        <is>
          <t>Infra</t>
        </is>
      </c>
      <c r="C27">
        <f>SUMIFS(WBS!F2:F94,WBS!D2:D94,A27,WBS!E2:E94,B27)</f>
        <v/>
      </c>
      <c r="D27">
        <f>SUMIFS(WBS!G2:G94,WBS!D2:D94,A27,WBS!E2:E94,B27)</f>
        <v/>
      </c>
      <c r="E27">
        <f>IF(C27=0,"",ROUND(D27/C27,2))</f>
        <v/>
      </c>
    </row>
    <row r="28">
      <c r="A28" s="9" t="inlineStr">
        <is>
          <t>Tổng Production</t>
        </is>
      </c>
      <c r="B28" s="10" t="n"/>
      <c r="C28" s="9">
        <f>SUMIFS(WBS!F2:F94,WBS!D2:D94,"Production")</f>
        <v/>
      </c>
      <c r="D28" s="9">
        <f>SUMIFS(WBS!G2:G94,WBS!D2:D94,"Production")</f>
        <v/>
      </c>
      <c r="E28" s="9">
        <f>IF(C28=0,"",ROUND(D28/C28,2))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0" customWidth="1" min="4" max="4"/>
  </cols>
  <sheetData>
    <row r="1">
      <c r="A1" s="4" t="inlineStr">
        <is>
          <t>Giai đoạn</t>
        </is>
      </c>
      <c r="B1" s="4" t="inlineStr">
        <is>
          <t>Bắt đầu</t>
        </is>
      </c>
      <c r="C1" s="4" t="inlineStr">
        <is>
          <t>Kết thúc</t>
        </is>
      </c>
      <c r="D1" s="4" t="inlineStr">
        <is>
          <t>Số tuần</t>
        </is>
      </c>
    </row>
    <row r="2">
      <c r="A2" t="inlineStr">
        <is>
          <t>PoC</t>
        </is>
      </c>
      <c r="B2" t="inlineStr">
        <is>
          <t>2025-03-03</t>
        </is>
      </c>
      <c r="C2" t="inlineStr">
        <is>
          <t>2025-06-06</t>
        </is>
      </c>
      <c r="D2" t="n">
        <v>14</v>
      </c>
    </row>
    <row r="3">
      <c r="A3" t="inlineStr">
        <is>
          <t>Đánh giá go/no-go, ký hợp đồng</t>
        </is>
      </c>
      <c r="B3" t="inlineStr">
        <is>
          <t>2025-06-09</t>
        </is>
      </c>
      <c r="C3" t="inlineStr">
        <is>
          <t>2025-06-27</t>
        </is>
      </c>
      <c r="D3" t="n">
        <v>3</v>
      </c>
    </row>
    <row r="4">
      <c r="A4" t="inlineStr">
        <is>
          <t>MVP (本開発)</t>
        </is>
      </c>
      <c r="B4" t="inlineStr">
        <is>
          <t>2025-06-30</t>
        </is>
      </c>
      <c r="C4" t="inlineStr">
        <is>
          <t>2025-11-28</t>
        </is>
      </c>
      <c r="D4" t="n">
        <v>22</v>
      </c>
    </row>
    <row r="5">
      <c r="A5" t="inlineStr">
        <is>
          <t>Production (展開・運用)</t>
        </is>
      </c>
      <c r="B5" t="inlineStr">
        <is>
          <t>2025-12-01</t>
        </is>
      </c>
      <c r="C5" t="inlineStr">
        <is>
          <t>2026-02-06</t>
        </is>
      </c>
      <c r="D5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5" customWidth="1" min="1" max="1"/>
    <col width="120" customWidth="1" min="2" max="2"/>
  </cols>
  <sheetData>
    <row r="1">
      <c r="A1" s="4" t="inlineStr">
        <is>
          <t>#</t>
        </is>
      </c>
      <c r="B1" s="4" t="inlineStr">
        <is>
          <t>Bài học</t>
        </is>
      </c>
    </row>
    <row r="2">
      <c r="A2" t="n">
        <v>1</v>
      </c>
      <c r="B2" s="11" t="inlineStr">
        <is>
          <t>PoC kéo dài từ 10 lên 14 tuần vì OCR chữ viết tay và bảng biểu đạt chất lượng thấp, phải thêm bước người kiểm tra.</t>
        </is>
      </c>
    </row>
    <row r="3">
      <c r="A3" t="n">
        <v>2</v>
      </c>
      <c r="B3" s="11" t="inlineStr">
        <is>
          <t>Nên lấy mẫu 50 trang scan ngẫu nhiên đo chất lượng OCR trước khi chốt effort.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2026-10-13T15:50:43Z</dcterms:created>
  <dcterms:modified xmlns:dcterms="http://purl.org/dc/terms/" xmlns:xsi="http://www.w3.org/2001/XMLSchema-instance" xsi:type="dcterms:W3CDTF">2026-10-13T15:50:43Z</dcterms:modified>
</cp:coreProperties>
</file>